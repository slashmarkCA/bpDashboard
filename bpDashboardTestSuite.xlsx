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02DA46BA-4636-4D38-9A5E-C742705FF284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DashboardTestPlan" sheetId="1" r:id="rId1"/>
    <sheet name="ValidationDDLsource" sheetId="2" r:id="rId2"/>
    <sheet name="AppsScriptTestPlan" sheetId="6" r:id="rId3"/>
    <sheet name="Documentation" sheetId="3" r:id="rId4"/>
    <sheet name="TestSummary" sheetId="4" r:id="rId5"/>
    <sheet name="Open a defect." sheetId="5" r:id="rId6"/>
    <sheet name="IsADefect" sheetId="7" r:id="rId7"/>
  </sheets>
  <definedNames>
    <definedName name="_xlnm._FilterDatabase" localSheetId="0" hidden="1">DashboardTestPlan!$A$1:$P$2</definedName>
    <definedName name="_xlnm._FilterDatabase" localSheetId="2" hidden="1">AppsScriptTestPlan!$A$1:$O$1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tc={0AB13653-40C4-47FA-A319-C6506C77DB43}</author>
    <author>tc={B2C5348B-3D7D-45CA-ACA4-7E3CA42663CE}</author>
  </authors>
  <commentList>
    <comment ref="E1" authorId="0" shapeId="0" xr:uid="{0AB13653-40C4-47FA-A319-C6506C77DB43}">
      <text>
        <t>[Threaded comment]
Your version of Excel allows you to read this threaded comment; however, any edits to it will get removed if the file is opened in a newer version of Excel. Learn more: https://go.microsoft.com/fwlink/?linkid=870924
Comment:
    gemini suggested keeping the same depth - not only for pivot tables, but it makes your GitHub repo look like it was designed by someone who knows how to architect a test suite, not just list tasks.</t>
      </text>
    </comment>
    <comment ref="F1" authorId="1" shapeId="0" xr:uid="{B2C5348B-3D7D-45CA-ACA4-7E3CA42663CE}">
      <text>
        <t>[Threaded comment]
Your version of Excel allows you to read this threaded comment; however, any edits to it will get removed if the file is opened in a newer version of Excel. Learn more: https://go.microsoft.com/fwlink/?linkid=870924
Comment:
    A high-level summary of what the test covers.  This is that big blob field in ALM.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tc={BD1D2972-E7A1-4BC2-B092-EAA3D1B07753}</author>
    <author>tc={567F4F01-81C3-4E04-9587-9703591C30EF}</author>
  </authors>
  <commentList>
    <comment ref="D1" authorId="0" shapeId="0" xr:uid="{BD1D2972-E7A1-4BC2-B092-EAA3D1B07753}">
      <text>
        <t>[Threaded comment]
Your version of Excel allows you to read this threaded comment; however, any edits to it will get removed if the file is opened in a newer version of Excel. Learn more: https://go.microsoft.com/fwlink/?linkid=870924
Comment:
    gemini suggested keeping the same depth - not only for pivot tables, but it makes your GitHub repo look like it was designed by someone who knows how to architect a test suite, not just list tasks.</t>
      </text>
    </comment>
    <comment ref="E1" authorId="1" shapeId="0" xr:uid="{567F4F01-81C3-4E04-9587-9703591C30EF}">
      <text>
        <t>[Threaded comment]
Your version of Excel allows you to read this threaded comment; however, any edits to it will get removed if the file is opened in a newer version of Excel. Learn more: https://go.microsoft.com/fwlink/?linkid=870924
Comment:
    A high-level summary of what the test covers.  This is that big blob field in ALM.</t>
      </text>
    </comment>
  </commentList>
</comments>
</file>

<file path=xl/sharedStrings.xml><?xml version="1.0" encoding="utf-8"?>
<sst xmlns="http://schemas.openxmlformats.org/spreadsheetml/2006/main" count="377" uniqueCount="263">
  <si>
    <t>Priority</t>
  </si>
  <si>
    <t>Type</t>
  </si>
  <si>
    <t>TC State</t>
  </si>
  <si>
    <r>
      <rPr>
        <b/>
        <sz val="11"/>
        <color rgb="FF000000"/>
        <rFont val="Calibri"/>
        <scheme val="minor"/>
      </rPr>
      <t xml:space="preserve">NEW </t>
    </r>
    <r>
      <rPr>
        <sz val="11"/>
        <color rgb="FF000000"/>
        <rFont val="Calibri"/>
        <scheme val="minor"/>
      </rPr>
      <t>Subject (Folder) Path String</t>
    </r>
  </si>
  <si>
    <r>
      <rPr>
        <b/>
        <sz val="11"/>
        <color rgb="FF000000"/>
        <rFont val="Calibri"/>
        <scheme val="minor"/>
      </rPr>
      <t>OLD</t>
    </r>
    <r>
      <rPr>
        <sz val="11"/>
        <color rgb="FF000000"/>
        <rFont val="Calibri"/>
        <scheme val="minor"/>
      </rPr>
      <t xml:space="preserve"> Subject (Folder) Path String</t>
    </r>
  </si>
  <si>
    <t>Description</t>
  </si>
  <si>
    <t>TestID</t>
  </si>
  <si>
    <t>Test Name</t>
  </si>
  <si>
    <t>Scenario</t>
  </si>
  <si>
    <t>Precondition</t>
  </si>
  <si>
    <t>Steps</t>
  </si>
  <si>
    <t>Expected Result</t>
  </si>
  <si>
    <t>Actual Result</t>
  </si>
  <si>
    <t>TC Status</t>
  </si>
  <si>
    <t>Last Run</t>
  </si>
  <si>
    <t>Defect ID</t>
  </si>
  <si>
    <t>Medium</t>
  </si>
  <si>
    <t>Manual</t>
  </si>
  <si>
    <t>Ready</t>
  </si>
  <si>
    <t>UI/User Agent</t>
  </si>
  <si>
    <t>Application/UI/IOS/Safari</t>
  </si>
  <si>
    <t>.css block z-index order.</t>
  </si>
  <si>
    <t>TC-01</t>
  </si>
  <si>
    <t>IOS/Safari .css layer order</t>
  </si>
  <si>
    <t>A warning banner has been triggered.</t>
  </si>
  <si>
    <t>Inject showGlobalErrorBanner("hello") in DevTools
Open app and scoll up and down.</t>
  </si>
  <si>
    <t>- Warning banner should draw over header.
- charts should not draw over header or warning banner.</t>
  </si>
  <si>
    <t>Passed</t>
  </si>
  <si>
    <t>Application/UI/OS X/Safari</t>
  </si>
  <si>
    <t>TC-02</t>
  </si>
  <si>
    <t>OS X/Safari .css layer order</t>
  </si>
  <si>
    <t>Blocked</t>
  </si>
  <si>
    <t>Application/UI/Windows/Chrome</t>
  </si>
  <si>
    <t>TC-03</t>
  </si>
  <si>
    <t>Windows/Chrome .css layer order</t>
  </si>
  <si>
    <t>Application/UI/Android/Chrome</t>
  </si>
  <si>
    <t>TC-04</t>
  </si>
  <si>
    <t>Android/Chrome .css layer order</t>
  </si>
  <si>
    <t>Low</t>
  </si>
  <si>
    <t>Javascript is disabled in a browser
- I'm not worried about CORS (yet)</t>
  </si>
  <si>
    <t>TC-05</t>
  </si>
  <si>
    <t>Browsers with javascript disabled</t>
  </si>
  <si>
    <t>Browser client does not support javascript.</t>
  </si>
  <si>
    <t>- Disable javascript in browser
- Then load page in new tab.</t>
  </si>
  <si>
    <t>&lt;noscript&gt; message executes and the plain html and .css renders.</t>
  </si>
  <si>
    <t>UI/Functional/State</t>
  </si>
  <si>
    <t>Application/UI/Async Checks</t>
  </si>
  <si>
    <t>Typical design where an application is pulling from an api in async/await action.</t>
  </si>
  <si>
    <t xml:space="preserve">There is a lag of some sort while fecthing the data from github (or database API eventually.) </t>
  </si>
  <si>
    <t>Execute showLoadingState() in DevTools.
Observe browser Window.</t>
  </si>
  <si>
    <t>Semi-transparent overlay appears with rotating indicator asking user to wait (for async to complete).</t>
  </si>
  <si>
    <t>Overaly appears, spinner rotates.</t>
  </si>
  <si>
    <t>???</t>
  </si>
  <si>
    <t>Gemini said I already handled a scenario if the json is ready before the DOM is fully loaded.  Where's the code, what's the test called, and what are the steps?</t>
  </si>
  <si>
    <t>UI/Functional/Info Drawers</t>
  </si>
  <si>
    <t>Write these.</t>
  </si>
  <si>
    <t>UI/Functional/Error Handling</t>
  </si>
  <si>
    <t>Verify system generates a UI banner if the user is attempting to view data from a malformed .json data source, causing the whole parser to panic and whole file to fail.</t>
  </si>
  <si>
    <t>User is warned if data source has fatal syntax error.</t>
  </si>
  <si>
    <t>Synthesize a malformed record where the application retrieves data from:
- try "Sys": , in the json response file.
Hard reload page and observe browser.</t>
  </si>
  <si>
    <t>Banner is displayed with a warning message.</t>
  </si>
  <si>
    <t>Passes, however a code change is needed - opened Issue # 39</t>
  </si>
  <si>
    <t>Application/Dependencies</t>
  </si>
  <si>
    <t>The UI test is for humans hitting the page - that includes HEADLESS selenium, google/bing bots &amp; playwrite which execute javascript.
This test is for FB&amp;X crawlers/AI LLMs/Lynx/Discord/paranoid chrome&amp;firefox users.
- Can console.log test w/ selenium so automate on &lt;noscript&gt; element - see documentation.</t>
  </si>
  <si>
    <t>TC 01</t>
  </si>
  <si>
    <t>Execute automation test.</t>
  </si>
  <si>
    <t xml:space="preserve">Application/Dependencies </t>
  </si>
  <si>
    <t>font handling: remove google font &lt;link rel="..."&gt; tags</t>
  </si>
  <si>
    <t>&lt;- this is an application dependency, and not a "UI/" folder - I only verify in the UI. I will check the browser safe fonts, but also the code changes needed for github issue #14 for retina and device pixel ratios</t>
  </si>
  <si>
    <t>chart.js handling: remove CDN &lt;script src="..."&gt; tags 1 by 1.</t>
  </si>
  <si>
    <t>&lt;- gemini said something about a failover test?  Failover at CDN or on my end?</t>
  </si>
  <si>
    <r>
      <rPr>
        <sz val="11"/>
        <color rgb="FF000000"/>
        <rFont val="Calibri"/>
        <scheme val="minor"/>
      </rPr>
      <t xml:space="preserve">How do chart modules react?
</t>
    </r>
    <r>
      <rPr>
        <sz val="11"/>
        <color rgb="FFFF0000"/>
        <rFont val="Calibri"/>
        <scheme val="minor"/>
      </rPr>
      <t xml:space="preserve">- errorhandling.js has checkChartDependencies() that should show a warning in each module - does it work??
</t>
    </r>
    <r>
      <rPr>
        <sz val="11"/>
        <color rgb="FF000000"/>
        <rFont val="Calibri"/>
        <scheme val="minor"/>
      </rPr>
      <t xml:space="preserve">How does error banner react?
</t>
    </r>
    <r>
      <rPr>
        <sz val="11"/>
        <color rgb="FFFF0000"/>
        <rFont val="Calibri"/>
        <scheme val="minor"/>
      </rPr>
      <t xml:space="preserve">checkChartDependencies() should throw an error banner too - does it work??
</t>
    </r>
    <r>
      <rPr>
        <sz val="11"/>
        <color rgb="FF000000"/>
        <rFont val="Calibri"/>
        <scheme val="minor"/>
      </rPr>
      <t xml:space="preserve">How do console logs react?
</t>
    </r>
    <r>
      <rPr>
        <sz val="11"/>
        <color rgb="FFFF0000"/>
        <rFont val="Calibri"/>
        <scheme val="minor"/>
      </rPr>
      <t>checkChartDependencies() does log with a testable message.  Does it work?</t>
    </r>
  </si>
  <si>
    <t>Application/Errors/Module isolation</t>
  </si>
  <si>
    <r>
      <rPr>
        <sz val="11"/>
        <color rgb="FF000000"/>
        <rFont val="Calibri"/>
        <scheme val="minor"/>
      </rPr>
      <t xml:space="preserve">Syntax error in one chart module should not drag down all of them.  </t>
    </r>
    <r>
      <rPr>
        <sz val="11"/>
        <color rgb="FFFF0000"/>
        <rFont val="Calibri"/>
        <scheme val="minor"/>
      </rPr>
      <t>I know there's code somewhere but I don't think it works.</t>
    </r>
  </si>
  <si>
    <t>Create a syntax error in chart modules one by run.
Render in browser after each change.
Observe, and restore working code.</t>
  </si>
  <si>
    <t>How does the module react?
How does the error banner react?
How does the console log react?</t>
  </si>
  <si>
    <t>Application/Errors/Error Handling</t>
  </si>
  <si>
    <t>&lt;- deconstruct utils/errorhandling.js for cases</t>
  </si>
  <si>
    <t>Application/Error Handling</t>
  </si>
  <si>
    <t>How does AbortController() currently in use work regarding timeouts?  Does it console.warn and should it errorbanner the user?</t>
  </si>
  <si>
    <t>Verify a log is generated if  the application processes a .json data source, causing the whole parser to panic and whole file to fail.</t>
  </si>
  <si>
    <t>Log is generated if data source has fatal syntax error.</t>
  </si>
  <si>
    <t>Synthesize a malformed record where the application retrieves data from:
- try "Sys": , in the json response file.
Hard reload page and observe console.</t>
  </si>
  <si>
    <t>UI shows "Failed to Load Data" banner; 
Console logs SyntaxError.</t>
  </si>
  <si>
    <t>Log is generated.</t>
  </si>
  <si>
    <t>Application/Data/Error Handling</t>
  </si>
  <si>
    <t>Missing data.json file</t>
  </si>
  <si>
    <t>delete all data within .json.
Load dashboard</t>
  </si>
  <si>
    <t>How do chart modules react?
How does error banner react?
How do console logs react?</t>
  </si>
  <si>
    <t>Empty data.json file</t>
  </si>
  <si>
    <r>
      <rPr>
        <sz val="11"/>
        <color rgb="FFFF0000"/>
        <rFont val="Calibri"/>
        <scheme val="minor"/>
      </rPr>
      <t xml:space="preserve">How do chart modules react?
How does error banner react?
How do console logs react?
Scenario: GitHub serves a file that is just [] (an empty array).
Expected Result: bp_data_loader.js should throw the error "Data array is empty" and trigger the showErrorState UI.  </t>
    </r>
    <r>
      <rPr>
        <b/>
        <sz val="11"/>
        <color rgb="FFFF0000"/>
        <rFont val="Calibri"/>
        <scheme val="minor"/>
      </rPr>
      <t>Does it?  Does it console.log for testing??</t>
    </r>
  </si>
  <si>
    <t>Application/Data/Data Integrity</t>
  </si>
  <si>
    <r>
      <rPr>
        <b/>
        <sz val="11"/>
        <color rgb="FF000000"/>
        <rFont val="Calibri"/>
        <scheme val="minor"/>
      </rPr>
      <t xml:space="preserve">&lt;- this is huge - this category will discuss all the "cleaning" or "shaping' of data like converting "120" to 120 - It’s the process of taking "messy" data (like dates in different formats or numbers as strings) and making them all look the same so your charts don't break. </t>
    </r>
    <r>
      <rPr>
        <b/>
        <sz val="11"/>
        <color rgb="FFFF0000"/>
        <rFont val="Calibri"/>
        <scheme val="minor"/>
      </rPr>
      <t>Already started below...need to add more of those tests. Gemini said I drop nulls and there's a defect for Sys&lt;=40 being dropped.</t>
    </r>
  </si>
  <si>
    <t>add a pivot table or something foreign in the gSheet sheet</t>
  </si>
  <si>
    <t>&lt;- remember how Tableau failed?  What should I look for in my  application without a schema validation?  I know json is "take what you need and ignore the rest, but what could cause it to catastrophically fail?</t>
  </si>
  <si>
    <t>add data with empty required fields</t>
  </si>
  <si>
    <t>add string in integer field</t>
  </si>
  <si>
    <t>&lt;- There is code for this - gemini showed where but I didn't see it - I should make a console log and test for it.</t>
  </si>
  <si>
    <t>add formula (like an accidental reference) in integer field</t>
  </si>
  <si>
    <t>&lt;- This could happen at source and here as well - both need attention.</t>
  </si>
  <si>
    <t>Fault, not failure - Dia key has Sys value</t>
  </si>
  <si>
    <t>&lt;- Is there any way I can determine if Dia data comes in labeled Sys and vice versa by accident?   They're both 2 digit numbers.</t>
  </si>
  <si>
    <t>&lt;- I check for strings in int fields, but not dates in int fields, do I? I don't have field value requirements written, like int(2) or float(), or string(len) for Comments.</t>
  </si>
  <si>
    <t>Reject future dates.</t>
  </si>
  <si>
    <t>Need validation code - I don't specifically look for it now so these will sneak in currently.</t>
  </si>
  <si>
    <t>Reject dates older than (60?) years</t>
  </si>
  <si>
    <t>Reject "0" value records</t>
  </si>
  <si>
    <t>currently validateNumericReading checks for min: 40 so 0 would be dropped - is that true?  I didn't write a requirement for this!</t>
  </si>
  <si>
    <t>Handle Leap Years</t>
  </si>
  <si>
    <r>
      <rPr>
        <sz val="11"/>
        <color rgb="FF000000"/>
        <rFont val="Calibri"/>
        <scheme val="minor"/>
      </rPr>
      <t xml:space="preserve">&lt;- Gemini said something about me not rejecting a record if Feb 29 shows up on a non-leap year but instead map() moves it to March 1st.  </t>
    </r>
    <r>
      <rPr>
        <sz val="11"/>
        <color rgb="FFFF0000"/>
        <rFont val="Calibri"/>
        <scheme val="minor"/>
      </rPr>
      <t>Need a log?</t>
    </r>
  </si>
  <si>
    <r>
      <rPr>
        <sz val="11"/>
        <color rgb="FF000000"/>
        <rFont val="Calibri"/>
        <scheme val="minor"/>
      </rPr>
      <t xml:space="preserve">Reject comments over </t>
    </r>
    <r>
      <rPr>
        <sz val="11"/>
        <color rgb="FFFF0000"/>
        <rFont val="Calibri"/>
        <scheme val="minor"/>
      </rPr>
      <t>How many???</t>
    </r>
    <r>
      <rPr>
        <sz val="11"/>
        <color rgb="FF000000"/>
        <rFont val="Calibri"/>
        <scheme val="minor"/>
      </rPr>
      <t xml:space="preserve"> characters</t>
    </r>
  </si>
  <si>
    <t>&lt;- This is huge - this is handling datetime, localization, yyyy-mm-dd, mm/dd/yyyy, etc.  I already cast PM toLower, what else to do???</t>
  </si>
  <si>
    <t>Application/Functional/Cross Chart Verification</t>
  </si>
  <si>
    <t>Verify Last Reading Date</t>
  </si>
  <si>
    <t>TC-01 x-chart verification</t>
  </si>
  <si>
    <t>ETL from gSheet runs, data.json loaded successfully.</t>
  </si>
  <si>
    <t>Open dashboard, check raw table, check header, check .json</t>
  </si>
  <si>
    <t>Last Reading Date in header matches latest reading date in Raw table, matches latest .json record</t>
  </si>
  <si>
    <t>Header value is "reading date unavailable" on load but has a value after reloading the page.</t>
  </si>
  <si>
    <t>Failed</t>
  </si>
  <si>
    <t>Open a defect.</t>
  </si>
  <si>
    <t>Verify MAX(Date)</t>
  </si>
  <si>
    <t>TC-02 x-chart verification</t>
  </si>
  <si>
    <t>Open dashboard, check raw table, check all x-axis', check .json</t>
  </si>
  <si>
    <t>Raw table, right-most x-axis label, latest Raw table all match latest .json record.</t>
  </si>
  <si>
    <t>Not Run</t>
  </si>
  <si>
    <t>Application/Functional/Date Formatting</t>
  </si>
  <si>
    <t>These are module UI checks because the source has datetime and the x-axis shows different formats, while tooltips show hh-mm-ssAMPM ONLY if it's not an Avg() type chart.</t>
  </si>
  <si>
    <t>TC-01-Datetime Formatting</t>
  </si>
  <si>
    <r>
      <rPr>
        <sz val="11"/>
        <color rgb="FF000000"/>
        <rFont val="Calibri"/>
        <scheme val="minor"/>
      </rPr>
      <t xml:space="preserve">Completeness.  </t>
    </r>
    <r>
      <rPr>
        <sz val="11"/>
        <color rgb="FFFF0000"/>
        <rFont val="Calibri"/>
        <scheme val="minor"/>
      </rPr>
      <t>Or is it called Reconcilliation?</t>
    </r>
  </si>
  <si>
    <t>Ensure all records shipped are accounted for; total sent must pass all validation and equal total accepted - happy path.</t>
  </si>
  <si>
    <t>I need a code change - I don't log or display an "info" for the user.</t>
  </si>
  <si>
    <t>Numbers should match.</t>
  </si>
  <si>
    <t>Ensure all records shipped are accounted for; accepted + rejected must equal total.</t>
  </si>
  <si>
    <t xml:space="preserve">- At source, replace a numeric field with an alpha character
- Run ETL script
- Compare number of records in gSheets log to console.log count </t>
  </si>
  <si>
    <t>console.log should show the total records received and number rejected, and... the banner should fire a notice "n records rejected for ??? reasons"</t>
  </si>
  <si>
    <t>Subject</t>
  </si>
  <si>
    <t>Example Subject uses</t>
  </si>
  <si>
    <t>Design</t>
  </si>
  <si>
    <t xml:space="preserve">&lt;- IOS+Safari = 1 TC, OSX+Safari=1tc, </t>
  </si>
  <si>
    <t>Automated</t>
  </si>
  <si>
    <t>UI/Functional/Themes</t>
  </si>
  <si>
    <t>&lt;- half implemented.</t>
  </si>
  <si>
    <t>High</t>
  </si>
  <si>
    <t>UI/Functional/Formatting</t>
  </si>
  <si>
    <t>&lt;- data says yyyy-mm-dd, chart.js changes it to mm-dd (tooltips AND x-axis!)</t>
  </si>
  <si>
    <t>Urgent</t>
  </si>
  <si>
    <t>&lt;- probably just &lt;div&gt; banners and warnings isolated to individual charts modules themselves.</t>
  </si>
  <si>
    <t>&lt;- async/await loading animation 1 TC + for json arrives before DOM banner "please refresh".  Could lump Cache problems I haven't thought of yet - gemini said something about "Cache Busting" I need to study.</t>
  </si>
  <si>
    <t>UI/Functional/Reporting</t>
  </si>
  <si>
    <t>&lt;- The sum of all Data Integrity the application does (drops, sanitizers).  Is there DQ to show in this?</t>
  </si>
  <si>
    <t>UI/Functional/Cross Chart verification</t>
  </si>
  <si>
    <t>&lt;- this involves inspecting the last record header date, the x-axis and the raw data table - all should agree; had a massive defect with that whole ISO/UTC thing and opened one for Last record date.</t>
  </si>
  <si>
    <t>UI/Functional/Date Filtering</t>
  </si>
  <si>
    <t>&lt;- not just the buttons - the whole bullshit of skipping dates I'm re-engineering :(  :(</t>
  </si>
  <si>
    <t>UI/Functional/Categorization</t>
  </si>
  <si>
    <t>&lt;- no unit tests needed yet; it's built and I have informally tested cases and edges thoroughly.  Will need tests when I add "hypotension".  This should have dozens and dozens of edge case tests (had a defect "I'm normal but tachycardic at the same time" in the if/then/else/between unit logic!)</t>
  </si>
  <si>
    <t>UI/Functional/Histogram Buckets</t>
  </si>
  <si>
    <t>&lt;- Had that defect where the value was in 2 buckets that spanned 2 categories at the same time ...changed the behavior. (it was a "Normal" range, but the buckets of 10 had it in the "narrowed" category too *i think* that's what happened)</t>
  </si>
  <si>
    <t>&lt;- they trigger, contain correct content, have proper z-index and shader works.</t>
  </si>
  <si>
    <t>Application/Data Integrity</t>
  </si>
  <si>
    <t>&lt;- just logs for each sanitized/validated/dropped/shit, 1 drop = 1 test.  1 sanitize = 1 test, 1 validatin = 1 test..... my NORMALIZATION.  UI/Reporting just rolls it all up.</t>
  </si>
  <si>
    <t>Application/Reconcilliation</t>
  </si>
  <si>
    <t>&lt;- 2 tests - happy path and bad path (accepted + rejected must = total received)</t>
  </si>
  <si>
    <t>Application/State</t>
  </si>
  <si>
    <t>&lt;- .json arrives before DOM is ready console.log.</t>
  </si>
  <si>
    <t>Subject (Folder) Path String</t>
  </si>
  <si>
    <t>Below are to be moved to gSheetTestPlan when I stabilize my columns</t>
  </si>
  <si>
    <t>"ETL" in this context is always THE BROWSER extracting from github raw url, transforming in the browser, and loading to its Window.</t>
  </si>
  <si>
    <t>So where do I test the google handshake?  The responses?  What about github?  Leave it and just trust their testing is all good?</t>
  </si>
  <si>
    <t>ETL/Out/gSheet API/Logging</t>
  </si>
  <si>
    <t>Apps Script -&gt; GitHub process</t>
  </si>
  <si>
    <t xml:space="preserve">TC-01-gSheet </t>
  </si>
  <si>
    <t>Verify success is caught</t>
  </si>
  <si>
    <t>File generates successfully</t>
  </si>
  <si>
    <t>Apps Script ETL Job runs</t>
  </si>
  <si>
    <t>Check log tab</t>
  </si>
  <si>
    <t>Log "xyz" is present.</t>
  </si>
  <si>
    <t>Log is there</t>
  </si>
  <si>
    <t xml:space="preserve">TC-02-gSheet </t>
  </si>
  <si>
    <t>Verify Failure is caught</t>
  </si>
  <si>
    <t>File fails to generate</t>
  </si>
  <si>
    <t>Data sheet is deleted or renamed
Apps Script ETL Job runs</t>
  </si>
  <si>
    <t>Delete data sheet, trigger job manually, Check log tab</t>
  </si>
  <si>
    <t>"Error: Sheet "Data" not found" log is present.</t>
  </si>
  <si>
    <t xml:space="preserve">TC-03-gSheet </t>
  </si>
  <si>
    <t>File transmits successfully</t>
  </si>
  <si>
    <t>File was generted</t>
  </si>
  <si>
    <t xml:space="preserve">TC-04-gSheet </t>
  </si>
  <si>
    <t>File fails to transmit</t>
  </si>
  <si>
    <t>ETL/In/gSheet/Logging</t>
  </si>
  <si>
    <t>Happy path - Application successfully processes gSheet data.json transmission</t>
  </si>
  <si>
    <t xml:space="preserve">TC-05-gSheet </t>
  </si>
  <si>
    <t>Unhappy path - gSheet fails to transmit data.json.</t>
  </si>
  <si>
    <t xml:space="preserve">TC-06-gSheet </t>
  </si>
  <si>
    <t>Rename columns at source</t>
  </si>
  <si>
    <t>&lt;- I'm pretty sure my apps script checks for their existence...what else do to?</t>
  </si>
  <si>
    <t>Rearrange columns at source</t>
  </si>
  <si>
    <t>&lt;- remember how Tableau failed?  App and Apps Script don't enforce a schema.</t>
  </si>
  <si>
    <t>Naming convention: https://gemini.google.com/app/fce074c60eb7c47b</t>
  </si>
  <si>
    <t>I should read this chat over and over and over - it has good tests for me to write I never thought of.</t>
  </si>
  <si>
    <r>
      <rPr>
        <sz val="11"/>
        <color rgb="FF000000"/>
        <rFont val="Calibri"/>
        <scheme val="minor"/>
      </rPr>
      <t xml:space="preserve">Considered but dropped this very standard way of classifying my tests into "Subject" folder heirarchy </t>
    </r>
    <r>
      <rPr>
        <b/>
        <sz val="11"/>
        <color rgb="FF000000"/>
        <rFont val="Calibri"/>
        <scheme val="minor"/>
      </rPr>
      <t>[Domain]/[Direction]/[Actor]/[Component]</t>
    </r>
  </si>
  <si>
    <t>github issue #</t>
  </si>
  <si>
    <t>&lt;- This one uses a formula.</t>
  </si>
  <si>
    <t>The "Plain English" Glossary</t>
  </si>
  <si>
    <r>
      <rPr>
        <b/>
        <sz val="11"/>
        <color rgb="FF000000"/>
        <rFont val="Calibri"/>
      </rPr>
      <t>AbortController:</t>
    </r>
    <r>
      <rPr>
        <sz val="11"/>
        <color rgb="FF000000"/>
        <rFont val="Calibri"/>
      </rPr>
      <t xml:space="preserve"> Think of this as a </t>
    </r>
    <r>
      <rPr>
        <b/>
        <sz val="11"/>
        <color rgb="FF000000"/>
        <rFont val="Calibri"/>
      </rPr>
      <t>"Kill Switch."</t>
    </r>
    <r>
      <rPr>
        <sz val="11"/>
        <color rgb="FF000000"/>
        <rFont val="Calibri"/>
      </rPr>
      <t xml:space="preserve"> When you start a fetch , you’re telling the browser "Go get this data." But what if the internet is slow? The AbortController lets you say, "If you aren't back in 10 seconds, stop trying (Abort)."</t>
    </r>
  </si>
  <si>
    <r>
      <t>Timeout:</t>
    </r>
    <r>
      <rPr>
        <sz val="11"/>
        <color theme="1"/>
        <rFont val="Calibri"/>
        <family val="2"/>
        <scheme val="minor"/>
      </rPr>
      <t xml:space="preserve"> This is the </t>
    </r>
    <r>
      <rPr>
        <b/>
        <sz val="11"/>
        <color theme="1"/>
        <rFont val="Calibri"/>
        <family val="2"/>
        <scheme val="minor"/>
      </rPr>
      <t>Timer</t>
    </r>
    <r>
      <rPr>
        <sz val="11"/>
        <color theme="1"/>
        <rFont val="Calibri"/>
        <family val="2"/>
        <scheme val="minor"/>
      </rPr>
      <t xml:space="preserve"> connected to the Kill Switch. It’s the stopwatch that counts to 10 before hitting the "Abort" button.</t>
    </r>
  </si>
  <si>
    <r>
      <t>Dispatcher (Custom Events):</t>
    </r>
    <r>
      <rPr>
        <sz val="11"/>
        <color theme="1"/>
        <rFont val="Calibri"/>
        <family val="2"/>
        <scheme val="minor"/>
      </rPr>
      <t xml:space="preserve"> Think of this as a </t>
    </r>
    <r>
      <rPr>
        <b/>
        <sz val="11"/>
        <color theme="1"/>
        <rFont val="Calibri"/>
        <family val="2"/>
        <scheme val="minor"/>
      </rPr>
      <t>Megaphone.</t>
    </r>
    <r>
      <rPr>
        <sz val="11"/>
        <color theme="1"/>
        <rFont val="Calibri"/>
        <family val="2"/>
        <scheme val="minor"/>
      </rPr>
      <t xml:space="preserve"> In your code, once the data is finished loading, the script yells into the megaphone: </t>
    </r>
    <r>
      <rPr>
        <i/>
        <sz val="11"/>
        <color theme="1"/>
        <rFont val="Calibri"/>
        <family val="2"/>
        <scheme val="minor"/>
      </rPr>
      <t>"Hey! The data is here!"</t>
    </r>
    <r>
      <rPr>
        <sz val="11"/>
        <color theme="1"/>
        <rFont val="Calibri"/>
        <family val="2"/>
        <scheme val="minor"/>
      </rPr>
      <t xml:space="preserve"> Any other script on your page that is "listening" can then start its own job.</t>
    </r>
  </si>
  <si>
    <r>
      <t>Normalization:</t>
    </r>
    <r>
      <rPr>
        <sz val="11"/>
        <color theme="1"/>
        <rFont val="Calibri"/>
        <family val="2"/>
        <scheme val="minor"/>
      </rPr>
      <t xml:space="preserve"> This is just </t>
    </r>
    <r>
      <rPr>
        <b/>
        <sz val="11"/>
        <color theme="1"/>
        <rFont val="Calibri"/>
        <family val="2"/>
        <scheme val="minor"/>
      </rPr>
      <t>Cleaning.</t>
    </r>
    <r>
      <rPr>
        <sz val="11"/>
        <color theme="1"/>
        <rFont val="Calibri"/>
        <family val="2"/>
        <scheme val="minor"/>
      </rPr>
      <t xml:space="preserve"> It’s the process of taking "messy" data (like dates in different formats or numbers as strings) and making them all look the same so your charts don't break.</t>
    </r>
  </si>
  <si>
    <r>
      <rPr>
        <b/>
        <sz val="11"/>
        <color rgb="FF000000"/>
        <rFont val="Calibri"/>
        <scheme val="minor"/>
      </rPr>
      <t xml:space="preserve">Extract: </t>
    </r>
    <r>
      <rPr>
        <sz val="11"/>
        <color rgb="FF000000"/>
        <rFont val="Calibri"/>
        <scheme val="minor"/>
      </rPr>
      <t>Your fetch() call getting the bp_readins.json</t>
    </r>
  </si>
  <si>
    <r>
      <t>Transform:</t>
    </r>
    <r>
      <rPr>
        <sz val="11"/>
        <color theme="1"/>
        <rFont val="Calibri"/>
        <family val="2"/>
        <scheme val="minor"/>
      </rPr>
      <t xml:space="preserve"> Your "Normalization" script (converting strings to numbers, fixing dates).</t>
    </r>
  </si>
  <si>
    <r>
      <rPr>
        <b/>
        <sz val="11"/>
        <color rgb="FF000000"/>
        <rFont val="Calibri"/>
        <scheme val="minor"/>
      </rPr>
      <t>Load:</t>
    </r>
    <r>
      <rPr>
        <sz val="11"/>
        <color rgb="FF000000"/>
        <rFont val="Calibri"/>
        <scheme val="minor"/>
      </rPr>
      <t xml:space="preserve"> The step where you set window.BP_DATA and render the chart.js graphs</t>
    </r>
  </si>
  <si>
    <t>Data Integrity (The Goal)</t>
  </si>
  <si>
    <r>
      <rPr>
        <sz val="11"/>
        <color rgb="FF000000"/>
        <rFont val="Calibri"/>
        <scheme val="minor"/>
      </rPr>
      <t xml:space="preserve">Testers and Database Administrators (DBAs) focus on </t>
    </r>
    <r>
      <rPr>
        <b/>
        <sz val="11"/>
        <color rgb="FF000000"/>
        <rFont val="Calibri"/>
        <scheme val="minor"/>
      </rPr>
      <t>Data Integrity</t>
    </r>
    <r>
      <rPr>
        <sz val="11"/>
        <color rgb="FF000000"/>
        <rFont val="Calibri"/>
        <scheme val="minor"/>
      </rPr>
      <t>. This is the state of the data—ensuring it is accurate, consistent, and "whole."</t>
    </r>
  </si>
  <si>
    <r>
      <rPr>
        <sz val="11"/>
        <color rgb="FF000000"/>
        <rFont val="Calibri"/>
        <scheme val="minor"/>
      </rPr>
      <t xml:space="preserve">When you write a line of code that says </t>
    </r>
    <r>
      <rPr>
        <u/>
        <sz val="11"/>
        <color rgb="FF000000"/>
        <rFont val="Calibri"/>
        <scheme val="minor"/>
      </rPr>
      <t>if (!Array.isArray(data)) throw new Error(...)</t>
    </r>
    <r>
      <rPr>
        <sz val="11"/>
        <color rgb="FF000000"/>
        <rFont val="Calibri"/>
        <scheme val="minor"/>
      </rPr>
      <t xml:space="preserve"> , you are performing a Data Integrity Check. You are verifying that the data hasn't been corrupted or misformatted before it reaches your app.</t>
    </r>
  </si>
  <si>
    <t>Key Technical Terms for my "Word Bank"</t>
  </si>
  <si>
    <t>Term</t>
  </si>
  <si>
    <t>What it actually means</t>
  </si>
  <si>
    <t>Sanitization</t>
  </si>
  <si>
    <t>Scrubbing "dangerous" characters out of data (like making sure a user hasn't typed code into a text box).</t>
  </si>
  <si>
    <t>Parsing</t>
  </si>
  <si>
    <t>The act of taking a big string of text and turning it into a usable JavaScript object (e.g., JSON.parse).</t>
  </si>
  <si>
    <t>Type Casting</t>
  </si>
  <si>
    <t>Forcefully changing a piece of data from one type to another (e.g., turning the string "120" into the number 120).</t>
  </si>
  <si>
    <t>Schema</t>
  </si>
  <si>
    <t>The "blueprint" or structure of your data. If your JSON always has date, systolic, and diastolic, that is your schema.</t>
  </si>
  <si>
    <t>Validation</t>
  </si>
  <si>
    <t>The "bouncer" at the door. Checking if the data meets your rules (e.g., "Is the systolic pressure a number between 50 and 300?").</t>
  </si>
  <si>
    <r>
      <rPr>
        <sz val="11"/>
        <color rgb="FF000000"/>
        <rFont val="Calibri"/>
      </rPr>
      <t xml:space="preserve">In myspecific project, </t>
    </r>
    <r>
      <rPr>
        <b/>
        <sz val="11"/>
        <color rgb="FF000000"/>
        <rFont val="Calibri"/>
      </rPr>
      <t>Normalization</t>
    </r>
    <r>
      <rPr>
        <sz val="11"/>
        <color rgb="FF000000"/>
        <rFont val="Calibri"/>
      </rPr>
      <t xml:space="preserve"> is a specific type of </t>
    </r>
    <r>
      <rPr>
        <b/>
        <sz val="11"/>
        <color rgb="FF000000"/>
        <rFont val="Calibri"/>
      </rPr>
      <t>Transformation</t>
    </r>
    <r>
      <rPr>
        <sz val="11"/>
        <color rgb="FF000000"/>
        <rFont val="Calibri"/>
      </rPr>
      <t>.</t>
    </r>
  </si>
  <si>
    <t>For example: If my Google Sheet records a date as 3/8/2026 but Chart.js prefers 2026-03-08, , your "Normalization" script is the "Transformer" that bridges that gap.</t>
  </si>
  <si>
    <r>
      <t>Why:</t>
    </r>
    <r>
      <rPr>
        <sz val="16"/>
        <color theme="1"/>
        <rFont val="Calibri"/>
        <family val="2"/>
        <scheme val="minor"/>
      </rPr>
      <t xml:space="preserve"> "Transform" is the </t>
    </r>
    <r>
      <rPr>
        <i/>
        <sz val="16"/>
        <color theme="1"/>
        <rFont val="Calibri"/>
        <family val="2"/>
        <scheme val="minor"/>
      </rPr>
      <t>how</t>
    </r>
    <r>
      <rPr>
        <sz val="16"/>
        <color theme="1"/>
        <rFont val="Calibri"/>
        <family val="2"/>
        <scheme val="minor"/>
      </rPr>
      <t xml:space="preserve">, but "Data Integrity" is the </t>
    </r>
    <r>
      <rPr>
        <i/>
        <sz val="16"/>
        <color theme="1"/>
        <rFont val="Calibri"/>
        <family val="2"/>
        <scheme val="minor"/>
      </rPr>
      <t>goal</t>
    </r>
    <r>
      <rPr>
        <sz val="16"/>
        <color theme="1"/>
        <rFont val="Calibri"/>
        <family val="2"/>
        <scheme val="minor"/>
      </rPr>
      <t>.</t>
    </r>
  </si>
  <si>
    <r>
      <rPr>
        <b/>
        <sz val="14"/>
        <color rgb="FF000000"/>
        <rFont val="Calibri"/>
        <scheme val="minor"/>
      </rPr>
      <t>Duplicity....Here I go again.</t>
    </r>
    <r>
      <rPr>
        <sz val="14"/>
        <color rgb="FF000000"/>
        <rFont val="Calibri"/>
        <scheme val="minor"/>
      </rPr>
      <t xml:space="preserve">  Take "empty .json file".  I SHOULD do 2 tests - 1 for the console for automation testing, and 1 for the UI/USER's error banner.</t>
    </r>
  </si>
  <si>
    <t>What about tooltips?  What to do? I only check for date formatting, and not comments length (yet)</t>
  </si>
  <si>
    <t>I don't think I wrote any tests yet for "sys" literally missing from .json file layout (I only check if it's present and 0 or null).</t>
  </si>
  <si>
    <t>This is a good way to think about the requirements I need to write and the tests/code changes for "Reconcilliation".</t>
  </si>
  <si>
    <t>Pro-Tip for Automation</t>
  </si>
  <si>
    <r>
      <t xml:space="preserve">If you are building an automated framework for this, it is helpful to log the </t>
    </r>
    <r>
      <rPr>
        <b/>
        <sz val="11"/>
        <color theme="1"/>
        <rFont val="Calibri"/>
        <family val="2"/>
        <scheme val="minor"/>
      </rPr>
      <t>Reason Codes</t>
    </r>
    <r>
      <rPr>
        <sz val="11"/>
        <color theme="1"/>
        <rFont val="Calibri"/>
        <family val="2"/>
        <scheme val="minor"/>
      </rPr>
      <t xml:space="preserve"> for the dropped records. Instead of just saying "5 dropped," your reconciliation report would ideally say:</t>
    </r>
  </si>
  <si>
    <r>
      <t>Total Received:</t>
    </r>
    <r>
      <rPr>
        <sz val="11"/>
        <color theme="1"/>
        <rFont val="Calibri"/>
        <family val="2"/>
        <scheme val="minor"/>
      </rPr>
      <t xml:space="preserve"> 100</t>
    </r>
  </si>
  <si>
    <r>
      <t>Dropped (Malformed Email):</t>
    </r>
    <r>
      <rPr>
        <sz val="11"/>
        <color theme="1"/>
        <rFont val="Calibri"/>
        <family val="2"/>
        <scheme val="minor"/>
      </rPr>
      <t xml:space="preserve"> 3</t>
    </r>
  </si>
  <si>
    <r>
      <t>Dropped (Duplicate ID):</t>
    </r>
    <r>
      <rPr>
        <sz val="11"/>
        <color theme="1"/>
        <rFont val="Calibri"/>
        <family val="2"/>
        <scheme val="minor"/>
      </rPr>
      <t xml:space="preserve"> 2</t>
    </r>
  </si>
  <si>
    <r>
      <t>Total Loaded:</t>
    </r>
    <r>
      <rPr>
        <sz val="11"/>
        <color theme="1"/>
        <rFont val="Calibri"/>
        <family val="2"/>
        <scheme val="minor"/>
      </rPr>
      <t xml:space="preserve"> 95</t>
    </r>
  </si>
  <si>
    <r>
      <t>Status:</t>
    </r>
    <r>
      <rPr>
        <sz val="11"/>
        <color theme="1"/>
        <rFont val="Calibri"/>
        <family val="2"/>
        <scheme val="minor"/>
      </rPr>
      <t xml:space="preserve"> Balanced</t>
    </r>
  </si>
  <si>
    <t>To do.</t>
  </si>
  <si>
    <t>Create a pivot table with test counts by folder path</t>
  </si>
  <si>
    <t>errorhandling.js threw this:</t>
  </si>
  <si>
    <t>I don't know what caused it or how to reproduce it.</t>
  </si>
  <si>
    <t>Unhandled Promise Rejection: TypeError: Failed to execute 'fetch' on 'Window': 1 argument required, but only 0 present.</t>
  </si>
  <si>
    <t>I opened a fresh browser tab and went to  http://192.168.2.19:5500/</t>
  </si>
  <si>
    <t xml:space="preserve">    at loadBPData (bp_data_loader.js:31:9)</t>
  </si>
  <si>
    <t>Liveserver is running.</t>
  </si>
  <si>
    <t xml:space="preserve">    at bp_data_loader.js:77:3</t>
  </si>
  <si>
    <t>Is this a defect?</t>
  </si>
  <si>
    <t>I was trying to test a 0, sys:null and missing Sys key at the same time by editing the .json file in prod and got this.  It's not my code.</t>
  </si>
  <si>
    <t>I replaced the missing Sys: key and still got it.</t>
  </si>
  <si>
    <t>Here's the thing.... console logged this:</t>
  </si>
  <si>
    <r>
      <t>bp_data_loader.js:73</t>
    </r>
    <r>
      <rPr>
        <sz val="9"/>
        <color rgb="FF1F1F1F"/>
        <rFont val="Courier New"/>
        <charset val="1"/>
      </rPr>
      <t xml:space="preserve"> </t>
    </r>
    <r>
      <rPr>
        <sz val="9"/>
        <color rgb="FF410E0B"/>
        <rFont val="Courier New"/>
        <charset val="1"/>
      </rPr>
      <t>[DATA LOADER] ❌ Failed to load data: SyntaxError: Unexpected token ',', ..." "Sys": , "Dia"... is not valid JSON</t>
    </r>
  </si>
  <si>
    <t>loadBPData</t>
  </si>
  <si>
    <t>@</t>
  </si>
  <si>
    <t>bp_data_loader.js:73</t>
  </si>
  <si>
    <t>await in loadBPData</t>
  </si>
  <si>
    <t>(anonymous)</t>
  </si>
  <si>
    <t>bp_data_loader.js:76</t>
  </si>
  <si>
    <t>...but the banner didn't fire.  Github's did, but mine didn't!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</si>
</sst>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sz val="16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scheme val="minor"/>
    </font>
    <font>
      <sz val="11"/>
      <color rgb="FFFF0000"/>
      <name val="Calibri"/>
      <charset val="1"/>
    </font>
    <font>
      <b/>
      <sz val="11"/>
      <color theme="1"/>
      <name val="Calibri"/>
      <scheme val="minor"/>
    </font>
    <font>
      <sz val="11"/>
      <color theme="9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b/>
      <sz val="11"/>
      <color rgb="FF000000"/>
      <name val="Calibri"/>
      <charset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1"/>
      <color theme="9"/>
      <name val="Calibri"/>
      <scheme val="minor"/>
    </font>
    <font>
      <b/>
      <sz val="11"/>
      <color rgb="FFFF0000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sz val="9"/>
      <color rgb="FF1F1F1F"/>
      <name val="Courier New"/>
      <charset val="1"/>
    </font>
    <font>
      <sz val="9"/>
      <color rgb="FF410E0B"/>
      <name val="Courier New"/>
      <charset val="1"/>
    </font>
    <font>
      <u/>
      <sz val="11"/>
      <color rgb="FF0B57D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BE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0" fillId="0" borderId="0" xfId="0" applyAlignment="1"/>
    <xf numFmtId="164" fontId="0" fillId="0" borderId="0" xfId="0" applyNumberFormat="1"/>
    <xf numFmtId="0" fontId="6" fillId="0" borderId="0" xfId="0" applyFon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0" xfId="0" quotePrefix="1" applyFont="1" applyAlignment="1">
      <alignment vertical="top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164" fontId="10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164" fontId="0" fillId="0" borderId="0" xfId="0" applyNumberFormat="1" applyAlignment="1">
      <alignment vertical="top" wrapText="1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0" fontId="17" fillId="0" borderId="0" xfId="0" applyFont="1" applyAlignment="1"/>
    <xf numFmtId="0" fontId="6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5" fillId="0" borderId="0" xfId="0" applyFont="1" applyAlignment="1"/>
    <xf numFmtId="0" fontId="22" fillId="0" borderId="0" xfId="0" applyFont="1" applyAlignment="1"/>
    <xf numFmtId="14" fontId="0" fillId="0" borderId="0" xfId="0" applyNumberFormat="1" applyAlignment="1">
      <alignment wrapText="1"/>
    </xf>
    <xf numFmtId="0" fontId="23" fillId="0" borderId="0" xfId="0" applyFont="1" applyAlignment="1"/>
    <xf numFmtId="0" fontId="26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9" fillId="0" borderId="0" xfId="0" applyFont="1" applyAlignment="1"/>
    <xf numFmtId="0" fontId="8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 applyAlignment="1">
      <alignment vertical="top"/>
    </xf>
    <xf numFmtId="0" fontId="0" fillId="0" borderId="0" xfId="0" quotePrefix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0" fillId="2" borderId="0" xfId="0" applyFont="1" applyFill="1" applyAlignment="1">
      <alignment wrapText="1"/>
    </xf>
    <xf numFmtId="0" fontId="0" fillId="0" borderId="0" xfId="0" quotePrefix="1" applyAlignment="1"/>
    <xf numFmtId="0" fontId="32" fillId="0" borderId="0" xfId="0" applyFont="1" applyAlignment="1"/>
    <xf numFmtId="0" fontId="33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</cellXfs>
  <cellStyles count="2">
    <cellStyle name="Hyperlink" xfId="1" builtinId="8"/>
    <cellStyle name="Normal" xfId="0" builtinId="0"/>
  </cellStyles>
  <dxfs count="1">
    <dxf>
      <alignment horizontal="general" vertical="top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6</xdr:row>
      <xdr:rowOff>28575</xdr:rowOff>
    </xdr:from>
    <xdr:to>
      <xdr:col>11</xdr:col>
      <xdr:colOff>476250</xdr:colOff>
      <xdr:row>27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914AF-C792-405F-582E-4E1D0A9F8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952625"/>
          <a:ext cx="8905875" cy="4029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19</xdr:col>
      <xdr:colOff>438150</xdr:colOff>
      <xdr:row>24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B1418-6078-48E3-2D47-5D8F0F7D9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762000"/>
          <a:ext cx="11668125" cy="39243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k Saunders" id="{7F340D71-27C9-40D5-A768-16BA27F2EBD1}" userId="d036e66be0837643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1BDB1-8F41-4D28-9C1A-9368DE13A26C}" name="Table1" displayName="Table1" ref="A1:E39" totalsRowShown="0">
  <autoFilter ref="A1:E39" xr:uid="{51B1BDB1-8F41-4D28-9C1A-9368DE13A26C}"/>
  <tableColumns count="5">
    <tableColumn id="1" xr3:uid="{149E4C45-0675-498F-A259-AC17385F62DA}" name="TC State"/>
    <tableColumn id="2" xr3:uid="{682FB6D9-99E6-47FB-BD58-557969A25524}" name="Type"/>
    <tableColumn id="3" xr3:uid="{79048B12-FA77-4213-9923-386EA247BC88}" name="Priority"/>
    <tableColumn id="4" xr3:uid="{599205A8-6057-42F7-B817-CAA9E667E8FC}" name="Subject" dataDxfId="0"/>
    <tableColumn id="6" xr3:uid="{7737E65A-ECF9-484E-973A-F836D64E2644}" name="TC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3-06T06:05:30.17" personId="{7F340D71-27C9-40D5-A768-16BA27F2EBD1}" id="{0AB13653-40C4-47FA-A319-C6506C77DB43}">
    <text>gemini suggested keeping the same depth - not only for pivot tables, but it makes your GitHub repo look like it was designed by someone who knows how to architect a test suite, not just list tasks.</text>
  </threadedComment>
  <threadedComment ref="F1" dT="2026-03-06T07:29:13.57" personId="{7F340D71-27C9-40D5-A768-16BA27F2EBD1}" id="{B2C5348B-3D7D-45CA-ACA4-7E3CA42663CE}">
    <text>A high-level summary of what the test covers.  This is that big blob field in ALM.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6-03-06T06:05:30.17" personId="{7F340D71-27C9-40D5-A768-16BA27F2EBD1}" id="{BD1D2972-E7A1-4BC2-B092-EAA3D1B07753}">
    <text>gemini suggested keeping the same depth - not only for pivot tables, but it makes your GitHub repo look like it was designed by someone who knows how to architect a test suite, not just list tasks.</text>
  </threadedComment>
  <threadedComment ref="E1" dT="2026-03-06T07:29:13.57" personId="{7F340D71-27C9-40D5-A768-16BA27F2EBD1}" id="{567F4F01-81C3-4E04-9587-9703591C30EF}">
    <text>A high-level summary of what the test covers.  This is that big blob field in ALM.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workbookViewId="0">
      <pane ySplit="1" topLeftCell="I7" activePane="bottomLeft" state="frozen"/>
      <selection pane="bottomLeft" activeCell="P11" sqref="P11"/>
    </sheetView>
  </sheetViews>
  <sheetFormatPr defaultRowHeight="15"/>
  <cols>
    <col min="1" max="2" width="9.140625" style="6"/>
    <col min="3" max="3" width="12.140625" style="6" customWidth="1"/>
    <col min="4" max="4" width="61.42578125" style="6" customWidth="1"/>
    <col min="5" max="5" width="45.5703125" style="6" customWidth="1"/>
    <col min="6" max="6" width="45.28515625" style="6" customWidth="1"/>
    <col min="7" max="7" width="36.5703125" style="6" bestFit="1" customWidth="1"/>
    <col min="8" max="8" width="34.140625" style="6" customWidth="1"/>
    <col min="9" max="9" width="47.7109375" style="6" customWidth="1"/>
    <col min="10" max="10" width="50.28515625" style="6" customWidth="1"/>
    <col min="11" max="11" width="45.42578125" style="6" customWidth="1"/>
    <col min="12" max="12" width="50.28515625" style="6" customWidth="1"/>
    <col min="13" max="13" width="36.5703125" style="6" bestFit="1" customWidth="1"/>
    <col min="14" max="14" width="11.28515625" style="6" bestFit="1" customWidth="1"/>
    <col min="15" max="15" width="10.85546875" style="7" bestFit="1" customWidth="1"/>
    <col min="16" max="16" width="13.7109375" style="6" bestFit="1" customWidth="1"/>
    <col min="17" max="17" width="24.140625" style="6" bestFit="1" customWidth="1"/>
    <col min="18" max="16384" width="9.140625" style="6"/>
  </cols>
  <sheetData>
    <row r="1" spans="1:16">
      <c r="A1" s="6" t="s">
        <v>0</v>
      </c>
      <c r="B1" s="6" t="s">
        <v>1</v>
      </c>
      <c r="C1" s="6" t="s">
        <v>2</v>
      </c>
      <c r="D1" s="44" t="s">
        <v>3</v>
      </c>
      <c r="E1" s="4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</row>
    <row r="2" spans="1:16" ht="30.75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8" t="s">
        <v>21</v>
      </c>
      <c r="G2" s="6" t="s">
        <v>22</v>
      </c>
      <c r="H2" s="16" t="s">
        <v>23</v>
      </c>
      <c r="J2" s="6" t="s">
        <v>24</v>
      </c>
      <c r="K2" s="9" t="s">
        <v>25</v>
      </c>
      <c r="L2" s="10" t="s">
        <v>26</v>
      </c>
      <c r="N2" s="6" t="s">
        <v>27</v>
      </c>
      <c r="O2" s="7">
        <v>46089</v>
      </c>
    </row>
    <row r="3" spans="1:16" ht="30.75">
      <c r="A3" s="6" t="s">
        <v>16</v>
      </c>
      <c r="B3" s="6" t="s">
        <v>17</v>
      </c>
      <c r="C3" s="6" t="s">
        <v>18</v>
      </c>
      <c r="D3" s="6" t="s">
        <v>19</v>
      </c>
      <c r="E3" s="6" t="s">
        <v>28</v>
      </c>
      <c r="F3" s="8" t="s">
        <v>21</v>
      </c>
      <c r="G3" s="6" t="s">
        <v>29</v>
      </c>
      <c r="H3" s="16" t="s">
        <v>30</v>
      </c>
      <c r="J3" s="6" t="s">
        <v>24</v>
      </c>
      <c r="K3" s="9" t="s">
        <v>25</v>
      </c>
      <c r="L3" s="10" t="s">
        <v>26</v>
      </c>
      <c r="N3" s="6" t="s">
        <v>31</v>
      </c>
    </row>
    <row r="4" spans="1:16" ht="30.75">
      <c r="A4" s="6" t="s">
        <v>16</v>
      </c>
      <c r="B4" s="6" t="s">
        <v>17</v>
      </c>
      <c r="C4" s="6" t="s">
        <v>18</v>
      </c>
      <c r="D4" s="6" t="s">
        <v>19</v>
      </c>
      <c r="E4" s="6" t="s">
        <v>32</v>
      </c>
      <c r="F4" s="8" t="s">
        <v>21</v>
      </c>
      <c r="G4" s="6" t="s">
        <v>33</v>
      </c>
      <c r="H4" s="16" t="s">
        <v>34</v>
      </c>
      <c r="J4" s="6" t="s">
        <v>24</v>
      </c>
      <c r="K4" s="9" t="s">
        <v>25</v>
      </c>
      <c r="L4" s="10" t="s">
        <v>26</v>
      </c>
      <c r="N4" s="6" t="s">
        <v>27</v>
      </c>
      <c r="O4" s="7">
        <v>46089</v>
      </c>
    </row>
    <row r="5" spans="1:16" ht="30.75">
      <c r="A5" s="6" t="s">
        <v>16</v>
      </c>
      <c r="B5" s="6" t="s">
        <v>17</v>
      </c>
      <c r="C5" s="6" t="s">
        <v>18</v>
      </c>
      <c r="D5" s="6" t="s">
        <v>19</v>
      </c>
      <c r="E5" s="6" t="s">
        <v>35</v>
      </c>
      <c r="F5" s="8" t="s">
        <v>21</v>
      </c>
      <c r="G5" s="6" t="s">
        <v>36</v>
      </c>
      <c r="H5" s="16" t="s">
        <v>37</v>
      </c>
      <c r="J5" s="6" t="s">
        <v>24</v>
      </c>
      <c r="K5" s="9" t="s">
        <v>25</v>
      </c>
      <c r="L5" s="10" t="s">
        <v>26</v>
      </c>
      <c r="N5" s="6" t="s">
        <v>27</v>
      </c>
      <c r="O5" s="7">
        <v>46089</v>
      </c>
    </row>
    <row r="6" spans="1:16" ht="30.75">
      <c r="A6" s="6" t="s">
        <v>38</v>
      </c>
      <c r="B6" s="6" t="s">
        <v>17</v>
      </c>
      <c r="C6" s="6" t="s">
        <v>18</v>
      </c>
      <c r="D6" s="6" t="s">
        <v>19</v>
      </c>
      <c r="F6" s="8" t="s">
        <v>39</v>
      </c>
      <c r="G6" s="6" t="s">
        <v>40</v>
      </c>
      <c r="H6" s="16" t="s">
        <v>41</v>
      </c>
      <c r="I6" s="6" t="s">
        <v>42</v>
      </c>
      <c r="K6" s="45" t="s">
        <v>43</v>
      </c>
      <c r="L6" s="52" t="s">
        <v>44</v>
      </c>
      <c r="N6" s="6" t="s">
        <v>27</v>
      </c>
      <c r="O6" s="7">
        <v>46089</v>
      </c>
    </row>
    <row r="7" spans="1:16" ht="30.75">
      <c r="A7" s="6" t="s">
        <v>38</v>
      </c>
      <c r="B7" s="6" t="s">
        <v>17</v>
      </c>
      <c r="C7" s="6" t="s">
        <v>18</v>
      </c>
      <c r="D7" s="6" t="s">
        <v>45</v>
      </c>
      <c r="E7" s="6" t="s">
        <v>46</v>
      </c>
      <c r="F7" s="52" t="s">
        <v>47</v>
      </c>
      <c r="I7" s="8" t="s">
        <v>48</v>
      </c>
      <c r="K7" s="8" t="s">
        <v>49</v>
      </c>
      <c r="L7" s="8" t="s">
        <v>50</v>
      </c>
      <c r="M7" s="6" t="s">
        <v>51</v>
      </c>
      <c r="N7" s="6" t="s">
        <v>27</v>
      </c>
      <c r="O7" s="7">
        <v>46089</v>
      </c>
    </row>
    <row r="8" spans="1:16" ht="60.75">
      <c r="D8" s="6" t="s">
        <v>45</v>
      </c>
      <c r="E8" s="6" t="s">
        <v>52</v>
      </c>
      <c r="F8" s="26" t="s">
        <v>53</v>
      </c>
    </row>
    <row r="9" spans="1:16">
      <c r="D9" s="6" t="s">
        <v>54</v>
      </c>
      <c r="F9" s="26" t="s">
        <v>55</v>
      </c>
      <c r="I9" s="8"/>
    </row>
    <row r="10" spans="1:16" ht="60.75">
      <c r="D10" s="6" t="s">
        <v>56</v>
      </c>
      <c r="F10" s="1" t="s">
        <v>57</v>
      </c>
      <c r="H10" s="8" t="s">
        <v>58</v>
      </c>
      <c r="I10" s="8"/>
      <c r="K10" s="8" t="s">
        <v>59</v>
      </c>
      <c r="L10" s="6" t="s">
        <v>60</v>
      </c>
      <c r="M10" s="8" t="s">
        <v>61</v>
      </c>
      <c r="N10" s="6" t="s">
        <v>27</v>
      </c>
      <c r="O10" s="7">
        <v>46089</v>
      </c>
      <c r="P10" s="6">
        <v>39</v>
      </c>
    </row>
    <row r="11" spans="1:16">
      <c r="F11" s="8"/>
      <c r="I11" s="8"/>
    </row>
    <row r="12" spans="1:16">
      <c r="F12" s="8"/>
      <c r="I12" s="8"/>
    </row>
    <row r="13" spans="1:16" ht="106.5">
      <c r="D13" s="6" t="s">
        <v>62</v>
      </c>
      <c r="E13" s="27" t="s">
        <v>62</v>
      </c>
      <c r="F13" s="46" t="s">
        <v>63</v>
      </c>
      <c r="G13" s="6" t="s">
        <v>64</v>
      </c>
      <c r="K13" s="6" t="s">
        <v>65</v>
      </c>
      <c r="L13" s="52"/>
    </row>
    <row r="14" spans="1:16" ht="60.75">
      <c r="D14" s="6" t="s">
        <v>62</v>
      </c>
      <c r="E14" s="27" t="s">
        <v>66</v>
      </c>
      <c r="F14" s="8" t="s">
        <v>67</v>
      </c>
      <c r="I14" s="8" t="s">
        <v>68</v>
      </c>
    </row>
    <row r="15" spans="1:16" ht="137.25">
      <c r="D15" s="6" t="s">
        <v>62</v>
      </c>
      <c r="E15" s="27" t="s">
        <v>62</v>
      </c>
      <c r="F15" s="8" t="s">
        <v>69</v>
      </c>
      <c r="I15" s="8" t="s">
        <v>70</v>
      </c>
      <c r="L15" s="52" t="s">
        <v>71</v>
      </c>
    </row>
    <row r="16" spans="1:16" ht="45.75">
      <c r="D16" s="6" t="s">
        <v>56</v>
      </c>
      <c r="E16" s="27" t="s">
        <v>72</v>
      </c>
      <c r="F16" s="52" t="s">
        <v>73</v>
      </c>
      <c r="J16" s="8"/>
      <c r="K16" s="8" t="s">
        <v>74</v>
      </c>
      <c r="L16" s="8" t="s">
        <v>75</v>
      </c>
    </row>
    <row r="17" spans="4:15">
      <c r="E17" s="27" t="s">
        <v>76</v>
      </c>
      <c r="I17" s="11" t="s">
        <v>77</v>
      </c>
      <c r="J17" s="8"/>
      <c r="K17" s="8"/>
      <c r="L17" s="8"/>
    </row>
    <row r="18" spans="4:15" ht="45.75">
      <c r="D18" s="6" t="s">
        <v>78</v>
      </c>
      <c r="E18" s="27"/>
      <c r="F18" s="26" t="s">
        <v>79</v>
      </c>
      <c r="I18" s="11"/>
      <c r="J18" s="8"/>
      <c r="K18" s="8"/>
      <c r="L18" s="8"/>
    </row>
    <row r="19" spans="4:15" ht="60.75">
      <c r="D19" s="6" t="s">
        <v>78</v>
      </c>
      <c r="E19" s="27"/>
      <c r="F19" s="1" t="s">
        <v>80</v>
      </c>
      <c r="H19" s="8" t="s">
        <v>81</v>
      </c>
      <c r="I19" s="11"/>
      <c r="J19"/>
      <c r="K19" s="8" t="s">
        <v>82</v>
      </c>
      <c r="L19" s="1" t="s">
        <v>83</v>
      </c>
      <c r="M19" s="8" t="s">
        <v>84</v>
      </c>
      <c r="N19" s="6" t="s">
        <v>27</v>
      </c>
      <c r="O19" s="7">
        <v>46089</v>
      </c>
    </row>
    <row r="20" spans="4:15" ht="45.75">
      <c r="E20" s="27" t="s">
        <v>85</v>
      </c>
      <c r="I20" s="6" t="s">
        <v>86</v>
      </c>
      <c r="K20" s="8" t="s">
        <v>87</v>
      </c>
      <c r="L20" s="8" t="s">
        <v>88</v>
      </c>
    </row>
    <row r="21" spans="4:15" ht="137.25">
      <c r="E21" s="27" t="s">
        <v>85</v>
      </c>
      <c r="I21" s="6" t="s">
        <v>89</v>
      </c>
      <c r="K21" s="8" t="s">
        <v>87</v>
      </c>
      <c r="L21" s="39" t="s">
        <v>90</v>
      </c>
    </row>
    <row r="22" spans="4:15" ht="121.5">
      <c r="E22" s="36" t="s">
        <v>91</v>
      </c>
      <c r="F22" s="8"/>
      <c r="I22" s="37" t="s">
        <v>92</v>
      </c>
    </row>
    <row r="23" spans="4:15" ht="60.75">
      <c r="E23" s="36" t="s">
        <v>91</v>
      </c>
      <c r="F23" s="8" t="s">
        <v>93</v>
      </c>
      <c r="I23" s="8" t="s">
        <v>94</v>
      </c>
      <c r="L23" s="8"/>
    </row>
    <row r="24" spans="4:15">
      <c r="E24" s="36" t="s">
        <v>91</v>
      </c>
      <c r="F24" s="6" t="s">
        <v>95</v>
      </c>
      <c r="L24" s="8"/>
    </row>
    <row r="25" spans="4:15" ht="45.75">
      <c r="E25" s="36" t="s">
        <v>91</v>
      </c>
      <c r="F25" s="6" t="s">
        <v>96</v>
      </c>
      <c r="I25" s="8" t="s">
        <v>97</v>
      </c>
      <c r="L25" s="8"/>
    </row>
    <row r="26" spans="4:15" ht="30.75">
      <c r="E26" s="36" t="s">
        <v>91</v>
      </c>
      <c r="F26" s="8" t="s">
        <v>98</v>
      </c>
      <c r="I26" s="8" t="s">
        <v>99</v>
      </c>
      <c r="L26" s="8"/>
    </row>
    <row r="27" spans="4:15" s="8" customFormat="1" ht="45.75">
      <c r="D27" s="6"/>
      <c r="E27" s="36" t="s">
        <v>91</v>
      </c>
      <c r="F27" s="8" t="s">
        <v>100</v>
      </c>
      <c r="I27" s="8" t="s">
        <v>101</v>
      </c>
      <c r="O27" s="22"/>
    </row>
    <row r="28" spans="4:15" s="8" customFormat="1" ht="60.75">
      <c r="D28" s="6"/>
      <c r="E28" s="36" t="s">
        <v>91</v>
      </c>
      <c r="F28" s="8" t="s">
        <v>52</v>
      </c>
      <c r="I28" s="8" t="s">
        <v>102</v>
      </c>
      <c r="O28" s="22"/>
    </row>
    <row r="29" spans="4:15" ht="30.75">
      <c r="E29" s="36" t="s">
        <v>91</v>
      </c>
      <c r="F29" s="6" t="s">
        <v>103</v>
      </c>
      <c r="I29" s="26" t="s">
        <v>104</v>
      </c>
      <c r="J29" s="8"/>
    </row>
    <row r="30" spans="4:15" ht="30.75">
      <c r="E30" s="36" t="s">
        <v>91</v>
      </c>
      <c r="F30" s="6" t="s">
        <v>105</v>
      </c>
      <c r="I30" s="26" t="s">
        <v>104</v>
      </c>
      <c r="J30" s="8"/>
    </row>
    <row r="31" spans="4:15" ht="45.75">
      <c r="E31" s="36" t="s">
        <v>91</v>
      </c>
      <c r="F31" s="6" t="s">
        <v>106</v>
      </c>
      <c r="I31" s="26" t="s">
        <v>107</v>
      </c>
      <c r="J31" s="8"/>
    </row>
    <row r="32" spans="4:15" ht="45.75">
      <c r="E32" s="36" t="s">
        <v>91</v>
      </c>
      <c r="F32" s="6" t="s">
        <v>108</v>
      </c>
      <c r="I32" s="52" t="s">
        <v>109</v>
      </c>
      <c r="J32" s="8"/>
    </row>
    <row r="33" spans="3:16">
      <c r="E33" s="36" t="s">
        <v>91</v>
      </c>
      <c r="F33" s="47" t="s">
        <v>110</v>
      </c>
      <c r="I33" s="52"/>
      <c r="J33" s="8"/>
    </row>
    <row r="34" spans="3:16" ht="45.75">
      <c r="E34" s="36" t="s">
        <v>91</v>
      </c>
      <c r="F34" s="6" t="s">
        <v>52</v>
      </c>
      <c r="I34" s="8" t="s">
        <v>111</v>
      </c>
    </row>
    <row r="35" spans="3:16" ht="45.75">
      <c r="E35" s="38" t="s">
        <v>112</v>
      </c>
      <c r="F35" s="6" t="s">
        <v>113</v>
      </c>
      <c r="G35" s="6" t="s">
        <v>114</v>
      </c>
      <c r="J35" s="8" t="s">
        <v>115</v>
      </c>
      <c r="K35" s="8" t="s">
        <v>116</v>
      </c>
      <c r="L35" s="8" t="s">
        <v>117</v>
      </c>
      <c r="M35" s="8" t="s">
        <v>118</v>
      </c>
      <c r="N35" s="6" t="s">
        <v>119</v>
      </c>
      <c r="P35" s="26" t="s">
        <v>120</v>
      </c>
    </row>
    <row r="36" spans="3:16" ht="30.75">
      <c r="E36" s="38" t="s">
        <v>112</v>
      </c>
      <c r="F36" s="6" t="s">
        <v>121</v>
      </c>
      <c r="G36" s="6" t="s">
        <v>122</v>
      </c>
      <c r="J36" s="8" t="s">
        <v>115</v>
      </c>
      <c r="K36" s="8" t="s">
        <v>123</v>
      </c>
      <c r="L36" s="8" t="s">
        <v>124</v>
      </c>
      <c r="N36" s="6" t="s">
        <v>125</v>
      </c>
    </row>
    <row r="37" spans="3:16" ht="60.75">
      <c r="E37" s="38" t="s">
        <v>126</v>
      </c>
      <c r="F37" s="8" t="s">
        <v>127</v>
      </c>
      <c r="G37" s="6" t="s">
        <v>128</v>
      </c>
      <c r="N37" s="6" t="s">
        <v>125</v>
      </c>
    </row>
    <row r="38" spans="3:16">
      <c r="E38" s="36"/>
      <c r="I38" s="8"/>
    </row>
    <row r="39" spans="3:16" ht="45.75">
      <c r="E39" s="52" t="s">
        <v>129</v>
      </c>
      <c r="F39" s="8" t="s">
        <v>130</v>
      </c>
      <c r="G39" s="8"/>
      <c r="I39" s="25" t="s">
        <v>131</v>
      </c>
      <c r="L39" s="6" t="s">
        <v>132</v>
      </c>
    </row>
    <row r="40" spans="3:16" ht="76.5">
      <c r="E40" s="52" t="s">
        <v>129</v>
      </c>
      <c r="F40" s="8" t="s">
        <v>133</v>
      </c>
      <c r="I40" s="25" t="s">
        <v>131</v>
      </c>
      <c r="K40" s="53" t="s">
        <v>134</v>
      </c>
      <c r="L40" s="8" t="s">
        <v>135</v>
      </c>
    </row>
    <row r="43" spans="3:16">
      <c r="C43" s="12"/>
    </row>
    <row r="45" spans="3:16">
      <c r="H45" s="8"/>
      <c r="L45" s="8"/>
    </row>
    <row r="46" spans="3:16">
      <c r="H46" s="8"/>
      <c r="L46" s="8"/>
    </row>
    <row r="54" spans="6:6">
      <c r="F54" s="3"/>
    </row>
  </sheetData>
  <autoFilter ref="A1:P2" xr:uid="{00000000-0001-0000-0000-000000000000}"/>
  <dataValidations count="1">
    <dataValidation allowBlank="1" showInputMessage="1" showErrorMessage="1" sqref="F35:F36 I14 G13 H13:H21 H23:H26 J20:J1048576 F20:H23 P35:P37 K35:M36 E7:E8 E65:E1048576 E12:E38 E45:E60 D1 D54:D1048576 E1:E5 P2:P23 F2:G6 K2:M6 J1:J18 K13:K23 K10 L13:L18 L20:L23 H10 M13:M23 N22:N23" xr:uid="{F7B3DB26-BE56-424E-8D9E-1D07DC9827CF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33DC1AA-40A9-4940-8914-AFAF27924D51}">
          <x14:formula1>
            <xm:f>ValidationDDLsource!$E$2:$E$18</xm:f>
          </x14:formula1>
          <xm:sqref>N35:N37 N2:N23</xm:sqref>
        </x14:dataValidation>
        <x14:dataValidation type="list" allowBlank="1" showInputMessage="1" showErrorMessage="1" xr:uid="{EA1E7D53-A2D7-43C3-8991-B56E45D2485E}">
          <x14:formula1>
            <xm:f>ValidationDDLsource!$A$2:$A$4</xm:f>
          </x14:formula1>
          <xm:sqref>C35:C37 C2:C23</xm:sqref>
        </x14:dataValidation>
        <x14:dataValidation type="list" allowBlank="1" showInputMessage="1" showErrorMessage="1" xr:uid="{927E9024-62E5-4B45-92A3-AEDB6A1233F6}">
          <x14:formula1>
            <xm:f>ValidationDDLsource!$B$2:$B$3</xm:f>
          </x14:formula1>
          <xm:sqref>B35:C37 B2:C23</xm:sqref>
        </x14:dataValidation>
        <x14:dataValidation type="list" allowBlank="1" showInputMessage="1" showErrorMessage="1" xr:uid="{3C46C409-7480-4F5F-B77B-8830A973D994}">
          <x14:formula1>
            <xm:f>ValidationDDLsource!$C$2:$C$5</xm:f>
          </x14:formula1>
          <xm:sqref>A35:C37 A2:C23</xm:sqref>
        </x14:dataValidation>
        <x14:dataValidation type="list" allowBlank="1" showInputMessage="1" showErrorMessage="1" xr:uid="{5ABE4842-C5A7-4314-B8E4-942306CCE80B}">
          <x14:formula1>
            <xm:f>ValidationDDLsource!$D$2:$D$39</xm:f>
          </x14:formula1>
          <xm:sqref>D2:D53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7D28-4358-4847-B2CA-099608DCB8F4}">
  <dimension ref="A1:G39"/>
  <sheetViews>
    <sheetView workbookViewId="0">
      <selection activeCell="G12" sqref="G12"/>
    </sheetView>
  </sheetViews>
  <sheetFormatPr defaultRowHeight="15"/>
  <cols>
    <col min="1" max="1" width="11.42578125" bestFit="1" customWidth="1"/>
    <col min="2" max="2" width="10.7109375" bestFit="1" customWidth="1"/>
    <col min="3" max="3" width="9.7109375" bestFit="1" customWidth="1"/>
    <col min="4" max="4" width="33.85546875" bestFit="1" customWidth="1"/>
    <col min="5" max="5" width="11.42578125" bestFit="1" customWidth="1"/>
    <col min="7" max="7" width="36.5703125" bestFit="1" customWidth="1"/>
    <col min="13" max="13" width="30.5703125" bestFit="1" customWidth="1"/>
  </cols>
  <sheetData>
    <row r="1" spans="1:7">
      <c r="A1" t="s">
        <v>2</v>
      </c>
      <c r="B1" t="s">
        <v>1</v>
      </c>
      <c r="C1" t="s">
        <v>0</v>
      </c>
      <c r="D1" t="s">
        <v>136</v>
      </c>
      <c r="E1" t="s">
        <v>13</v>
      </c>
      <c r="G1" s="5" t="s">
        <v>137</v>
      </c>
    </row>
    <row r="2" spans="1:7">
      <c r="A2" t="s">
        <v>138</v>
      </c>
      <c r="B2" t="s">
        <v>17</v>
      </c>
      <c r="C2" t="s">
        <v>38</v>
      </c>
      <c r="D2" s="6" t="s">
        <v>19</v>
      </c>
      <c r="E2" t="s">
        <v>125</v>
      </c>
      <c r="G2" s="6" t="s">
        <v>139</v>
      </c>
    </row>
    <row r="3" spans="1:7">
      <c r="A3" t="s">
        <v>18</v>
      </c>
      <c r="B3" t="s">
        <v>140</v>
      </c>
      <c r="C3" t="s">
        <v>16</v>
      </c>
      <c r="D3" s="6" t="s">
        <v>141</v>
      </c>
      <c r="E3" t="s">
        <v>27</v>
      </c>
      <c r="G3" s="6" t="s">
        <v>142</v>
      </c>
    </row>
    <row r="4" spans="1:7">
      <c r="C4" t="s">
        <v>143</v>
      </c>
      <c r="D4" s="6" t="s">
        <v>144</v>
      </c>
      <c r="E4" t="s">
        <v>119</v>
      </c>
      <c r="G4" s="6" t="s">
        <v>145</v>
      </c>
    </row>
    <row r="5" spans="1:7">
      <c r="C5" t="s">
        <v>146</v>
      </c>
      <c r="D5" s="6" t="s">
        <v>56</v>
      </c>
      <c r="E5" t="s">
        <v>31</v>
      </c>
      <c r="G5" s="6" t="s">
        <v>147</v>
      </c>
    </row>
    <row r="6" spans="1:7">
      <c r="D6" s="6" t="s">
        <v>45</v>
      </c>
      <c r="G6" s="6" t="s">
        <v>148</v>
      </c>
    </row>
    <row r="7" spans="1:7">
      <c r="D7" s="6" t="s">
        <v>149</v>
      </c>
      <c r="G7" s="6" t="s">
        <v>150</v>
      </c>
    </row>
    <row r="8" spans="1:7">
      <c r="D8" s="6" t="s">
        <v>151</v>
      </c>
      <c r="G8" s="6" t="s">
        <v>152</v>
      </c>
    </row>
    <row r="9" spans="1:7">
      <c r="D9" s="6" t="s">
        <v>153</v>
      </c>
      <c r="G9" s="6" t="s">
        <v>154</v>
      </c>
    </row>
    <row r="10" spans="1:7">
      <c r="D10" s="6" t="s">
        <v>155</v>
      </c>
      <c r="G10" s="6" t="s">
        <v>156</v>
      </c>
    </row>
    <row r="11" spans="1:7">
      <c r="D11" s="6" t="s">
        <v>157</v>
      </c>
      <c r="G11" s="3" t="s">
        <v>158</v>
      </c>
    </row>
    <row r="12" spans="1:7">
      <c r="D12" s="6" t="s">
        <v>54</v>
      </c>
      <c r="G12" s="3" t="s">
        <v>159</v>
      </c>
    </row>
    <row r="13" spans="1:7">
      <c r="D13" s="6" t="s">
        <v>62</v>
      </c>
    </row>
    <row r="14" spans="1:7">
      <c r="D14" s="6" t="s">
        <v>78</v>
      </c>
      <c r="G14" s="6" t="s">
        <v>77</v>
      </c>
    </row>
    <row r="15" spans="1:7">
      <c r="D15" s="6" t="s">
        <v>160</v>
      </c>
      <c r="G15" s="6" t="s">
        <v>161</v>
      </c>
    </row>
    <row r="16" spans="1:7">
      <c r="D16" s="6" t="s">
        <v>162</v>
      </c>
      <c r="G16" s="6" t="s">
        <v>163</v>
      </c>
    </row>
    <row r="17" spans="4:7">
      <c r="D17" s="6" t="s">
        <v>164</v>
      </c>
      <c r="G17" s="6" t="s">
        <v>165</v>
      </c>
    </row>
    <row r="18" spans="4:7">
      <c r="D18" s="6"/>
    </row>
    <row r="19" spans="4:7" ht="21">
      <c r="D19" s="6"/>
      <c r="G19" s="35"/>
    </row>
    <row r="20" spans="4:7" ht="18.75">
      <c r="D20" s="6"/>
      <c r="G20" s="40"/>
    </row>
    <row r="21" spans="4:7">
      <c r="D21" s="6"/>
      <c r="G21" s="23"/>
    </row>
    <row r="22" spans="4:7">
      <c r="D22" s="6"/>
    </row>
    <row r="23" spans="4:7">
      <c r="D23" s="6"/>
    </row>
    <row r="24" spans="4:7">
      <c r="D24" s="6"/>
    </row>
    <row r="25" spans="4:7">
      <c r="D25" s="6"/>
    </row>
    <row r="26" spans="4:7">
      <c r="D26" s="6"/>
    </row>
    <row r="27" spans="4:7">
      <c r="D27" s="6"/>
    </row>
    <row r="28" spans="4:7">
      <c r="D28" s="6"/>
    </row>
    <row r="29" spans="4:7">
      <c r="D29" s="6"/>
    </row>
    <row r="30" spans="4:7">
      <c r="D30" s="6"/>
    </row>
    <row r="31" spans="4:7">
      <c r="D31" s="6"/>
    </row>
    <row r="32" spans="4:7">
      <c r="D32" s="6"/>
    </row>
    <row r="33" spans="4:7">
      <c r="D33" s="6"/>
    </row>
    <row r="34" spans="4:7">
      <c r="D34" s="6"/>
    </row>
    <row r="35" spans="4:7">
      <c r="D35" s="6"/>
      <c r="G35" s="3"/>
    </row>
    <row r="36" spans="4:7">
      <c r="D36" s="6"/>
      <c r="G36" s="3"/>
    </row>
    <row r="37" spans="4:7">
      <c r="D37" s="6"/>
    </row>
    <row r="38" spans="4:7">
      <c r="D38" s="6"/>
    </row>
    <row r="39" spans="4:7">
      <c r="D39" s="6"/>
    </row>
  </sheetData>
  <dataValidations count="1">
    <dataValidation allowBlank="1" showInputMessage="1" showErrorMessage="1" sqref="D2:D39 G21" xr:uid="{5ED8C503-EF58-4949-82C9-764A0AAA7E9B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0EE3-5B53-459A-9287-387D5A0030B6}">
  <dimension ref="A1:O34"/>
  <sheetViews>
    <sheetView workbookViewId="0">
      <pane ySplit="1" topLeftCell="A19" activePane="bottomLeft" state="frozen"/>
      <selection pane="bottomLeft" activeCell="A19" sqref="A19"/>
    </sheetView>
  </sheetViews>
  <sheetFormatPr defaultRowHeight="15"/>
  <cols>
    <col min="1" max="2" width="9.140625" style="6"/>
    <col min="3" max="3" width="12.140625" style="6" customWidth="1"/>
    <col min="4" max="4" width="36.5703125" style="6" bestFit="1" customWidth="1"/>
    <col min="5" max="5" width="42.7109375" style="6" bestFit="1" customWidth="1"/>
    <col min="6" max="6" width="36.5703125" style="6" bestFit="1" customWidth="1"/>
    <col min="7" max="7" width="34.140625" style="6" customWidth="1"/>
    <col min="8" max="8" width="47.7109375" style="6" customWidth="1"/>
    <col min="9" max="9" width="50.28515625" style="6" customWidth="1"/>
    <col min="10" max="10" width="45.42578125" style="6" customWidth="1"/>
    <col min="11" max="11" width="36.5703125" style="6" bestFit="1" customWidth="1"/>
    <col min="12" max="12" width="15.140625" style="6" bestFit="1" customWidth="1"/>
    <col min="13" max="13" width="11.28515625" style="6" bestFit="1" customWidth="1"/>
    <col min="14" max="14" width="10.85546875" style="7" bestFit="1" customWidth="1"/>
    <col min="15" max="15" width="13.7109375" style="6" bestFit="1" customWidth="1"/>
    <col min="16" max="16" width="24.140625" style="6" bestFit="1" customWidth="1"/>
    <col min="17" max="16384" width="9.140625" style="6"/>
  </cols>
  <sheetData>
    <row r="1" spans="1:15">
      <c r="A1" s="6" t="s">
        <v>0</v>
      </c>
      <c r="B1" s="6" t="s">
        <v>1</v>
      </c>
      <c r="C1" s="6" t="s">
        <v>2</v>
      </c>
      <c r="D1" s="6" t="s">
        <v>166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7" t="s">
        <v>14</v>
      </c>
      <c r="O1" s="6" t="s">
        <v>15</v>
      </c>
    </row>
    <row r="2" spans="1:15" ht="21">
      <c r="D2" s="17" t="s">
        <v>167</v>
      </c>
    </row>
    <row r="3" spans="1:15">
      <c r="D3" s="11" t="s">
        <v>168</v>
      </c>
    </row>
    <row r="4" spans="1:15">
      <c r="D4" s="11" t="s">
        <v>169</v>
      </c>
    </row>
    <row r="6" spans="1:15" s="18" customFormat="1">
      <c r="D6" s="18" t="s">
        <v>170</v>
      </c>
      <c r="E6" s="18" t="s">
        <v>171</v>
      </c>
      <c r="F6" s="18" t="s">
        <v>172</v>
      </c>
      <c r="G6" s="18" t="s">
        <v>173</v>
      </c>
      <c r="H6" s="18" t="s">
        <v>174</v>
      </c>
      <c r="I6" s="18" t="s">
        <v>175</v>
      </c>
      <c r="J6" s="18" t="s">
        <v>176</v>
      </c>
      <c r="K6" s="19" t="s">
        <v>177</v>
      </c>
      <c r="L6" s="18" t="s">
        <v>178</v>
      </c>
      <c r="M6" s="18" t="s">
        <v>27</v>
      </c>
      <c r="N6" s="20">
        <v>46087</v>
      </c>
    </row>
    <row r="7" spans="1:15" s="18" customFormat="1" ht="30.75">
      <c r="D7" s="18" t="s">
        <v>170</v>
      </c>
      <c r="E7" s="18" t="s">
        <v>171</v>
      </c>
      <c r="F7" s="18" t="s">
        <v>179</v>
      </c>
      <c r="G7" s="18" t="s">
        <v>180</v>
      </c>
      <c r="H7" s="18" t="s">
        <v>181</v>
      </c>
      <c r="I7" s="19" t="s">
        <v>182</v>
      </c>
      <c r="J7" s="19" t="s">
        <v>183</v>
      </c>
      <c r="K7" s="19" t="s">
        <v>184</v>
      </c>
      <c r="L7" s="18" t="s">
        <v>178</v>
      </c>
      <c r="M7" s="18" t="s">
        <v>27</v>
      </c>
      <c r="N7" s="20">
        <v>46175</v>
      </c>
    </row>
    <row r="8" spans="1:15" s="18" customFormat="1">
      <c r="D8" s="18" t="s">
        <v>170</v>
      </c>
      <c r="E8" s="18" t="s">
        <v>171</v>
      </c>
      <c r="F8" s="18" t="s">
        <v>185</v>
      </c>
      <c r="G8" s="18" t="s">
        <v>173</v>
      </c>
      <c r="H8" s="18" t="s">
        <v>186</v>
      </c>
      <c r="I8" s="18" t="s">
        <v>187</v>
      </c>
      <c r="K8" s="19"/>
      <c r="N8" s="20"/>
    </row>
    <row r="9" spans="1:15" s="18" customFormat="1">
      <c r="D9" s="18" t="s">
        <v>170</v>
      </c>
      <c r="E9" s="18" t="s">
        <v>171</v>
      </c>
      <c r="F9" s="18" t="s">
        <v>188</v>
      </c>
      <c r="G9" s="18" t="s">
        <v>180</v>
      </c>
      <c r="H9" s="18" t="s">
        <v>189</v>
      </c>
      <c r="I9" s="18" t="s">
        <v>187</v>
      </c>
      <c r="K9" s="19"/>
      <c r="N9" s="20"/>
    </row>
    <row r="10" spans="1:15" s="18" customFormat="1" ht="30.75">
      <c r="D10" s="18" t="s">
        <v>190</v>
      </c>
      <c r="E10" s="19" t="s">
        <v>191</v>
      </c>
      <c r="F10" s="18" t="s">
        <v>192</v>
      </c>
      <c r="H10" s="21"/>
      <c r="K10" s="19"/>
      <c r="N10" s="20"/>
    </row>
    <row r="11" spans="1:15" s="18" customFormat="1" ht="30.75">
      <c r="D11" s="21"/>
      <c r="E11" s="19" t="s">
        <v>193</v>
      </c>
      <c r="F11" s="18" t="s">
        <v>194</v>
      </c>
      <c r="H11" s="21"/>
      <c r="K11" s="19"/>
      <c r="N11" s="20"/>
    </row>
    <row r="12" spans="1:15" s="18" customFormat="1" ht="30.75">
      <c r="D12" s="21"/>
      <c r="E12" s="19" t="s">
        <v>195</v>
      </c>
      <c r="F12" s="19" t="s">
        <v>196</v>
      </c>
      <c r="H12" s="21"/>
      <c r="K12" s="19"/>
      <c r="N12" s="20"/>
    </row>
    <row r="13" spans="1:15" s="18" customFormat="1" ht="30.75">
      <c r="D13" s="21"/>
      <c r="E13" s="19" t="s">
        <v>197</v>
      </c>
      <c r="F13" s="19" t="s">
        <v>196</v>
      </c>
      <c r="H13" s="21"/>
      <c r="K13" s="19"/>
      <c r="N13" s="20"/>
    </row>
    <row r="14" spans="1:15" s="18" customFormat="1" ht="30.75">
      <c r="D14" s="24" t="s">
        <v>160</v>
      </c>
      <c r="E14" s="19" t="s">
        <v>93</v>
      </c>
      <c r="F14" s="19" t="s">
        <v>198</v>
      </c>
      <c r="K14" s="19"/>
      <c r="N14" s="20"/>
    </row>
    <row r="15" spans="1:15" s="18" customFormat="1">
      <c r="D15" s="24"/>
      <c r="E15" s="19"/>
      <c r="F15" s="19"/>
      <c r="K15" s="19"/>
      <c r="N15" s="20"/>
    </row>
    <row r="16" spans="1:15" s="18" customFormat="1">
      <c r="D16" s="24"/>
      <c r="E16" s="19"/>
      <c r="F16" s="19"/>
      <c r="K16" s="19"/>
      <c r="N16" s="20"/>
    </row>
    <row r="17" spans="3:14" s="18" customFormat="1">
      <c r="D17" s="24"/>
      <c r="E17" s="19"/>
      <c r="F17" s="19"/>
      <c r="K17" s="19"/>
      <c r="N17" s="20"/>
    </row>
    <row r="18" spans="3:14" s="18" customFormat="1">
      <c r="D18" s="24"/>
      <c r="E18" s="19"/>
      <c r="F18" s="19"/>
      <c r="K18" s="19"/>
      <c r="N18" s="20"/>
    </row>
    <row r="21" spans="3:14">
      <c r="C21" s="12"/>
    </row>
    <row r="22" spans="3:14">
      <c r="D22" s="13"/>
    </row>
    <row r="24" spans="3:14">
      <c r="E24" s="14"/>
      <c r="J24" s="8"/>
    </row>
    <row r="25" spans="3:14">
      <c r="J25" s="8"/>
    </row>
    <row r="26" spans="3:14">
      <c r="D26" s="15"/>
      <c r="E26" s="8"/>
      <c r="J26" s="8"/>
    </row>
    <row r="27" spans="3:14">
      <c r="E27" s="8"/>
      <c r="J27" s="8"/>
    </row>
    <row r="28" spans="3:14">
      <c r="E28" s="8"/>
      <c r="H28" s="8"/>
      <c r="J28" s="52"/>
    </row>
    <row r="29" spans="3:14">
      <c r="J29" s="8"/>
    </row>
    <row r="30" spans="3:14">
      <c r="H30" s="8"/>
    </row>
    <row r="34" spans="7:11" ht="50.25" customHeight="1">
      <c r="G34" s="8"/>
      <c r="K34" s="8"/>
    </row>
  </sheetData>
  <autoFilter ref="A1:O1" xr:uid="{00000000-0001-0000-0000-000000000000}"/>
  <dataValidations count="1">
    <dataValidation allowBlank="1" showInputMessage="1" showErrorMessage="1" sqref="D29:D1048576 D24:D25 E6:E11 F6:G13 J6:L13 G14:G18 O2:O13 D1:D21 I1:I1048576" xr:uid="{FBE978B7-6A1D-44CB-A0A9-5B5FAD430253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C5C854-F9C4-475B-8F90-0D89FFB116CC}">
          <x14:formula1>
            <xm:f>ValidationDDLsource!$C$2:$C$5</xm:f>
          </x14:formula1>
          <xm:sqref>A2:C13</xm:sqref>
        </x14:dataValidation>
        <x14:dataValidation type="list" allowBlank="1" showInputMessage="1" showErrorMessage="1" xr:uid="{D3258351-E55D-42E2-A0A4-F341CEB57477}">
          <x14:formula1>
            <xm:f>ValidationDDLsource!$B$2:$B$3</xm:f>
          </x14:formula1>
          <xm:sqref>B2:C13</xm:sqref>
        </x14:dataValidation>
        <x14:dataValidation type="list" allowBlank="1" showInputMessage="1" showErrorMessage="1" xr:uid="{FF6AABC8-5450-4FAF-BC15-6DD57B0002D4}">
          <x14:formula1>
            <xm:f>ValidationDDLsource!$A$2:$A$4</xm:f>
          </x14:formula1>
          <xm:sqref>C2:C13</xm:sqref>
        </x14:dataValidation>
        <x14:dataValidation type="list" allowBlank="1" showInputMessage="1" showErrorMessage="1" xr:uid="{8E31A757-D1DC-45DA-8AD5-B66818FAF46F}">
          <x14:formula1>
            <xm:f>ValidationDDLsource!$E$2:$E$18</xm:f>
          </x14:formula1>
          <xm:sqref>M2:M13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6065-4C06-4ADD-B045-B02081083E17}">
  <dimension ref="A1:N47"/>
  <sheetViews>
    <sheetView topLeftCell="A29" workbookViewId="0">
      <selection activeCell="B42" sqref="B42:B47"/>
    </sheetView>
  </sheetViews>
  <sheetFormatPr defaultRowHeight="15"/>
  <cols>
    <col min="2" max="2" width="13.7109375" customWidth="1"/>
    <col min="3" max="3" width="36.5703125" bestFit="1" customWidth="1"/>
    <col min="4" max="4" width="39" customWidth="1"/>
    <col min="5" max="5" width="22.140625" bestFit="1" customWidth="1"/>
    <col min="7" max="7" width="53.140625" customWidth="1"/>
    <col min="8" max="8" width="36.5703125" bestFit="1" customWidth="1"/>
    <col min="9" max="9" width="20.42578125" bestFit="1" customWidth="1"/>
    <col min="10" max="10" width="30.85546875" customWidth="1"/>
    <col min="11" max="11" width="31.5703125" customWidth="1"/>
  </cols>
  <sheetData>
    <row r="1" spans="1:14">
      <c r="A1" s="5">
        <v>2</v>
      </c>
      <c r="B1" s="3" t="s">
        <v>199</v>
      </c>
    </row>
    <row r="2" spans="1:14">
      <c r="B2" s="42" t="s">
        <v>200</v>
      </c>
    </row>
    <row r="3" spans="1:14">
      <c r="B3" s="32" t="s">
        <v>201</v>
      </c>
      <c r="N3" s="4"/>
    </row>
    <row r="4" spans="1:14">
      <c r="B4" s="3"/>
      <c r="N4" s="4"/>
    </row>
    <row r="5" spans="1:14">
      <c r="N5" s="4"/>
    </row>
    <row r="6" spans="1:14">
      <c r="B6" s="2" t="s">
        <v>202</v>
      </c>
      <c r="N6" s="4"/>
    </row>
    <row r="7" spans="1:14">
      <c r="B7" s="2" t="str">
        <f>HYPERLINK("https://github.com/YourRepo/issues/12", "#12")</f>
        <v>#12</v>
      </c>
      <c r="C7" t="s">
        <v>203</v>
      </c>
      <c r="N7" s="4"/>
    </row>
    <row r="8" spans="1:14">
      <c r="N8" s="4"/>
    </row>
    <row r="10" spans="1:14" ht="18">
      <c r="B10" s="28" t="s">
        <v>204</v>
      </c>
    </row>
    <row r="11" spans="1:14">
      <c r="B11" s="30" t="s">
        <v>205</v>
      </c>
    </row>
    <row r="12" spans="1:14">
      <c r="B12" s="29" t="s">
        <v>206</v>
      </c>
    </row>
    <row r="13" spans="1:14">
      <c r="B13" s="29" t="s">
        <v>207</v>
      </c>
    </row>
    <row r="14" spans="1:14">
      <c r="B14" s="29" t="s">
        <v>208</v>
      </c>
    </row>
    <row r="15" spans="1:14">
      <c r="B15" s="3"/>
    </row>
    <row r="16" spans="1:14">
      <c r="B16" s="31" t="s">
        <v>209</v>
      </c>
    </row>
    <row r="17" spans="2:3">
      <c r="B17" s="29" t="s">
        <v>210</v>
      </c>
    </row>
    <row r="18" spans="2:3">
      <c r="B18" s="31" t="s">
        <v>211</v>
      </c>
    </row>
    <row r="20" spans="2:3">
      <c r="B20" s="5" t="s">
        <v>212</v>
      </c>
    </row>
    <row r="21" spans="2:3">
      <c r="B21" s="32" t="s">
        <v>213</v>
      </c>
    </row>
    <row r="22" spans="2:3">
      <c r="B22" s="32" t="s">
        <v>214</v>
      </c>
    </row>
    <row r="23" spans="2:3">
      <c r="B23" s="1"/>
    </row>
    <row r="24" spans="2:3">
      <c r="B24" s="29" t="s">
        <v>215</v>
      </c>
    </row>
    <row r="25" spans="2:3">
      <c r="B25" s="5" t="s">
        <v>216</v>
      </c>
      <c r="C25" s="33" t="s">
        <v>217</v>
      </c>
    </row>
    <row r="26" spans="2:3">
      <c r="B26" t="s">
        <v>218</v>
      </c>
      <c r="C26" s="3" t="s">
        <v>219</v>
      </c>
    </row>
    <row r="27" spans="2:3">
      <c r="B27" t="s">
        <v>220</v>
      </c>
      <c r="C27" s="3" t="s">
        <v>221</v>
      </c>
    </row>
    <row r="28" spans="2:3">
      <c r="B28" t="s">
        <v>222</v>
      </c>
      <c r="C28" s="3" t="s">
        <v>223</v>
      </c>
    </row>
    <row r="29" spans="2:3">
      <c r="B29" t="s">
        <v>224</v>
      </c>
      <c r="C29" s="3" t="s">
        <v>225</v>
      </c>
    </row>
    <row r="30" spans="2:3">
      <c r="B30" t="s">
        <v>226</v>
      </c>
      <c r="C30" s="3" t="s">
        <v>227</v>
      </c>
    </row>
    <row r="31" spans="2:3">
      <c r="B31" s="3"/>
      <c r="C31" s="1"/>
    </row>
    <row r="32" spans="2:3">
      <c r="B32" s="41" t="s">
        <v>228</v>
      </c>
      <c r="C32" s="1"/>
    </row>
    <row r="33" spans="2:3">
      <c r="B33" s="3" t="s">
        <v>229</v>
      </c>
      <c r="C33" s="1"/>
    </row>
    <row r="34" spans="2:3" ht="21">
      <c r="B34" s="35" t="s">
        <v>230</v>
      </c>
      <c r="C34" s="1"/>
    </row>
    <row r="35" spans="2:3" ht="18.75">
      <c r="B35" s="40" t="s">
        <v>231</v>
      </c>
      <c r="C35" s="1"/>
    </row>
    <row r="36" spans="2:3">
      <c r="B36" s="34"/>
      <c r="C36" s="3"/>
    </row>
    <row r="37" spans="2:3">
      <c r="B37" s="11" t="s">
        <v>232</v>
      </c>
    </row>
    <row r="38" spans="2:3">
      <c r="B38" s="11" t="s">
        <v>233</v>
      </c>
    </row>
    <row r="40" spans="2:3">
      <c r="B40" s="43" t="s">
        <v>234</v>
      </c>
    </row>
    <row r="41" spans="2:3" ht="18">
      <c r="B41" s="28" t="s">
        <v>235</v>
      </c>
    </row>
    <row r="42" spans="2:3">
      <c r="B42" s="3" t="s">
        <v>236</v>
      </c>
    </row>
    <row r="43" spans="2:3">
      <c r="B43" s="29" t="s">
        <v>237</v>
      </c>
    </row>
    <row r="44" spans="2:3">
      <c r="B44" s="29" t="s">
        <v>238</v>
      </c>
    </row>
    <row r="45" spans="2:3">
      <c r="B45" s="29" t="s">
        <v>239</v>
      </c>
    </row>
    <row r="46" spans="2:3">
      <c r="B46" s="29" t="s">
        <v>240</v>
      </c>
    </row>
    <row r="47" spans="2:3">
      <c r="B47" s="29" t="s">
        <v>241</v>
      </c>
    </row>
  </sheetData>
  <dataValidations count="1">
    <dataValidation allowBlank="1" showInputMessage="1" showErrorMessage="1" sqref="B4 B1 B6:B7" xr:uid="{F7B3DB26-BE56-424E-8D9E-1D07DC9827CF}"/>
  </dataValidations>
  <hyperlinks>
    <hyperlink ref="B6" r:id="rId1" xr:uid="{39ADA6E0-51F0-4485-95AE-61A4DF01666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87A9-F2AB-4B57-B104-5F36D9128D38}">
  <dimension ref="A1:A2"/>
  <sheetViews>
    <sheetView workbookViewId="0">
      <selection activeCell="A3" sqref="A3"/>
    </sheetView>
  </sheetViews>
  <sheetFormatPr defaultRowHeight="15"/>
  <cols>
    <col min="1" max="1" width="36.5703125" bestFit="1" customWidth="1"/>
  </cols>
  <sheetData>
    <row r="1" spans="1:1">
      <c r="A1" t="s">
        <v>242</v>
      </c>
    </row>
    <row r="2" spans="1:1" ht="30.75">
      <c r="A2" s="1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155B-D150-4FBC-8164-9A21FFA61D30}">
  <dimension ref="A2:D5"/>
  <sheetViews>
    <sheetView topLeftCell="A3" workbookViewId="0">
      <selection activeCell="P13" sqref="P13"/>
    </sheetView>
  </sheetViews>
  <sheetFormatPr defaultRowHeight="15"/>
  <cols>
    <col min="1" max="1" width="36.5703125" bestFit="1" customWidth="1"/>
  </cols>
  <sheetData>
    <row r="2" spans="1:4">
      <c r="A2" t="s">
        <v>244</v>
      </c>
      <c r="D2" s="3" t="s">
        <v>245</v>
      </c>
    </row>
    <row r="3" spans="1:4" ht="60.75">
      <c r="A3" s="1" t="s">
        <v>246</v>
      </c>
      <c r="D3" s="3" t="s">
        <v>247</v>
      </c>
    </row>
    <row r="4" spans="1:4" ht="30.75">
      <c r="A4" s="1" t="s">
        <v>248</v>
      </c>
      <c r="D4" s="3" t="s">
        <v>249</v>
      </c>
    </row>
    <row r="5" spans="1:4">
      <c r="A5" s="1" t="s">
        <v>250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E892-55D5-4419-AE3A-0965C50FB74C}">
  <dimension ref="A1:C34"/>
  <sheetViews>
    <sheetView topLeftCell="A3" workbookViewId="0">
      <selection activeCell="A29" sqref="A29:D34"/>
    </sheetView>
  </sheetViews>
  <sheetFormatPr defaultRowHeight="15"/>
  <cols>
    <col min="1" max="1" width="36.5703125" bestFit="1" customWidth="1"/>
    <col min="2" max="2" width="2.7109375" bestFit="1" customWidth="1"/>
    <col min="4" max="4" width="19.42578125" bestFit="1" customWidth="1"/>
  </cols>
  <sheetData>
    <row r="1" spans="1:1">
      <c r="A1" t="s">
        <v>251</v>
      </c>
    </row>
    <row r="2" spans="1:1" ht="60.75">
      <c r="A2" s="1" t="s">
        <v>252</v>
      </c>
    </row>
    <row r="3" spans="1:1">
      <c r="A3" s="3" t="s">
        <v>253</v>
      </c>
    </row>
    <row r="27" spans="1:3">
      <c r="A27" t="s">
        <v>254</v>
      </c>
    </row>
    <row r="29" spans="1:3" ht="57">
      <c r="A29" s="48" t="s">
        <v>255</v>
      </c>
    </row>
    <row r="30" spans="1:3">
      <c r="A30" s="3" t="s">
        <v>256</v>
      </c>
      <c r="B30" s="49" t="s">
        <v>257</v>
      </c>
      <c r="C30" s="50" t="s">
        <v>258</v>
      </c>
    </row>
    <row r="31" spans="1:3">
      <c r="A31" s="29" t="s">
        <v>259</v>
      </c>
      <c r="B31" s="3"/>
      <c r="C31" s="3"/>
    </row>
    <row r="32" spans="1:3">
      <c r="A32" s="3" t="s">
        <v>260</v>
      </c>
      <c r="B32" s="49" t="s">
        <v>257</v>
      </c>
      <c r="C32" s="50" t="s">
        <v>261</v>
      </c>
    </row>
    <row r="34" spans="1:1" ht="30.75">
      <c r="A34" s="51" t="s">
        <v>262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2026-03-06T03:27:27Z</dcterms:created>
  <dcterms:modified xsi:type="dcterms:W3CDTF">2026-03-09T02:43:01Z</dcterms:modified>
  <cp:category/>
  <cp:contentStatus/>
</cp:coreProperties>
</file>